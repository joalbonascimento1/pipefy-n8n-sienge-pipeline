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ALBO\ALEATORIO\Doc n8n automacao\BI\"/>
    </mc:Choice>
  </mc:AlternateContent>
  <xr:revisionPtr revIDLastSave="0" documentId="13_ncr:1_{21A36377-D336-476F-849D-0DB688D1C5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 OFICIAL" sheetId="5" r:id="rId1"/>
    <sheet name="BASE APURAÇÃO" sheetId="8" state="hidden" r:id="rId2"/>
    <sheet name="DADOS PAGAMENTOS" sheetId="9" state="hidden" r:id="rId3"/>
    <sheet name="Planilha2" sheetId="11" state="hidden" r:id="rId4"/>
  </sheets>
  <definedNames>
    <definedName name="_xlnm.Print_Area" localSheetId="0">'BASE OFICIAL'!$B$2:$P$171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1" i="5" l="1"/>
  <c r="A103" i="5" l="1"/>
  <c r="A104" i="5"/>
  <c r="A105" i="5"/>
  <c r="A106" i="5"/>
  <c r="A107" i="5"/>
  <c r="E61" i="5"/>
  <c r="K19" i="5" l="1"/>
  <c r="B9" i="11"/>
  <c r="F97" i="5"/>
  <c r="L97" i="5" s="1"/>
  <c r="H122" i="5"/>
  <c r="E33" i="5"/>
  <c r="F31" i="5"/>
  <c r="F9" i="5"/>
  <c r="F8" i="5" s="1"/>
  <c r="G9" i="5"/>
  <c r="H18" i="5"/>
  <c r="I18" i="5"/>
  <c r="L18" i="5"/>
  <c r="F100" i="5"/>
  <c r="I95" i="5"/>
  <c r="E25" i="5"/>
  <c r="L24" i="5"/>
  <c r="I24" i="5"/>
  <c r="L23" i="5"/>
  <c r="I23" i="5"/>
  <c r="E22" i="5"/>
  <c r="E21" i="5"/>
  <c r="I20" i="5"/>
  <c r="B2" i="11"/>
  <c r="B3" i="11"/>
  <c r="B4" i="11"/>
  <c r="B5" i="11"/>
  <c r="B6" i="11"/>
  <c r="B7" i="11"/>
  <c r="B8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" i="11"/>
  <c r="A73" i="5"/>
  <c r="H97" i="5" l="1"/>
  <c r="Q18" i="5"/>
  <c r="O18" i="5"/>
  <c r="I10" i="5"/>
  <c r="I27" i="5"/>
  <c r="P177" i="5"/>
  <c r="Q177" i="5"/>
  <c r="Q176" i="5"/>
  <c r="Q175" i="5"/>
  <c r="Q174" i="5"/>
  <c r="R176" i="5"/>
  <c r="P176" i="5"/>
  <c r="I17" i="5"/>
  <c r="K9" i="5"/>
  <c r="A27" i="5"/>
  <c r="A28" i="5"/>
  <c r="A29" i="5"/>
  <c r="A30" i="5"/>
  <c r="A31" i="5"/>
  <c r="A32" i="5"/>
  <c r="A33" i="5"/>
  <c r="H30" i="5"/>
  <c r="I30" i="5"/>
  <c r="L30" i="5"/>
  <c r="H31" i="5"/>
  <c r="I31" i="5"/>
  <c r="L31" i="5"/>
  <c r="N19" i="5"/>
  <c r="N9" i="5"/>
  <c r="R18" i="5" l="1"/>
  <c r="O31" i="5"/>
  <c r="O30" i="5"/>
  <c r="B6" i="8"/>
  <c r="C6" i="8"/>
  <c r="E6" i="8"/>
  <c r="F6" i="8"/>
  <c r="J6" i="8"/>
  <c r="M6" i="8"/>
  <c r="B7" i="8"/>
  <c r="C7" i="8"/>
  <c r="E7" i="8"/>
  <c r="F7" i="8"/>
  <c r="J7" i="8"/>
  <c r="M7" i="8"/>
  <c r="B8" i="8"/>
  <c r="C8" i="8"/>
  <c r="E8" i="8"/>
  <c r="F8" i="8"/>
  <c r="J8" i="8"/>
  <c r="M8" i="8"/>
  <c r="B9" i="8"/>
  <c r="C9" i="8"/>
  <c r="E9" i="8"/>
  <c r="F9" i="8"/>
  <c r="J9" i="8"/>
  <c r="M9" i="8"/>
  <c r="B10" i="8"/>
  <c r="C10" i="8"/>
  <c r="E10" i="8"/>
  <c r="F10" i="8"/>
  <c r="J10" i="8"/>
  <c r="M10" i="8"/>
  <c r="B11" i="8"/>
  <c r="C11" i="8"/>
  <c r="E11" i="8"/>
  <c r="F11" i="8"/>
  <c r="J11" i="8"/>
  <c r="M11" i="8"/>
  <c r="B12" i="8"/>
  <c r="C12" i="8"/>
  <c r="E12" i="8"/>
  <c r="F12" i="8"/>
  <c r="J12" i="8"/>
  <c r="M12" i="8"/>
  <c r="B13" i="8"/>
  <c r="C13" i="8"/>
  <c r="E13" i="8"/>
  <c r="F13" i="8"/>
  <c r="J13" i="8"/>
  <c r="M13" i="8"/>
  <c r="B14" i="8"/>
  <c r="C14" i="8"/>
  <c r="E14" i="8"/>
  <c r="F14" i="8"/>
  <c r="J14" i="8"/>
  <c r="M14" i="8"/>
  <c r="B15" i="8"/>
  <c r="C15" i="8"/>
  <c r="E15" i="8"/>
  <c r="F15" i="8"/>
  <c r="J15" i="8"/>
  <c r="M15" i="8"/>
  <c r="B16" i="8"/>
  <c r="C16" i="8"/>
  <c r="E16" i="8"/>
  <c r="F16" i="8"/>
  <c r="J16" i="8"/>
  <c r="M16" i="8"/>
  <c r="B17" i="8"/>
  <c r="C17" i="8"/>
  <c r="E17" i="8"/>
  <c r="F17" i="8"/>
  <c r="J17" i="8"/>
  <c r="M17" i="8"/>
  <c r="B5" i="8"/>
  <c r="C5" i="8"/>
  <c r="E5" i="8"/>
  <c r="F5" i="8"/>
  <c r="J5" i="8"/>
  <c r="M5" i="8"/>
  <c r="B4" i="8"/>
  <c r="C4" i="8"/>
  <c r="D4" i="8"/>
  <c r="E4" i="8"/>
  <c r="F4" i="8"/>
  <c r="J4" i="8"/>
  <c r="M4" i="8"/>
  <c r="B3" i="8"/>
  <c r="C3" i="8"/>
  <c r="E3" i="8"/>
  <c r="F3" i="8"/>
  <c r="J3" i="8"/>
  <c r="M3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D2" i="9"/>
  <c r="P175" i="5"/>
  <c r="C3" i="9" s="1"/>
  <c r="A3" i="9"/>
  <c r="R175" i="5"/>
  <c r="B3" i="9" s="1"/>
  <c r="C4" i="9"/>
  <c r="B4" i="9"/>
  <c r="C5" i="9"/>
  <c r="A5" i="9"/>
  <c r="B5" i="9"/>
  <c r="C6" i="9"/>
  <c r="C8" i="9"/>
  <c r="C1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B10" i="9"/>
  <c r="A10" i="9"/>
  <c r="C9" i="9"/>
  <c r="B9" i="9"/>
  <c r="A9" i="9"/>
  <c r="B8" i="9"/>
  <c r="A8" i="9"/>
  <c r="C7" i="9"/>
  <c r="B7" i="9"/>
  <c r="A7" i="9"/>
  <c r="B6" i="9"/>
  <c r="A6" i="9"/>
  <c r="A4" i="9"/>
  <c r="P174" i="5"/>
  <c r="C2" i="9" s="1"/>
  <c r="A2" i="9"/>
  <c r="R174" i="5"/>
  <c r="B2" i="9" s="1"/>
  <c r="R173" i="5"/>
  <c r="P173" i="5"/>
  <c r="Q173" i="5"/>
  <c r="A2" i="8"/>
  <c r="B2" i="8"/>
  <c r="C2" i="8"/>
  <c r="A3" i="8"/>
  <c r="J2" i="8"/>
  <c r="D1" i="8"/>
  <c r="E1" i="8"/>
  <c r="F1" i="8"/>
  <c r="G1" i="8"/>
  <c r="J1" i="8"/>
  <c r="M1" i="8"/>
  <c r="N1" i="8"/>
  <c r="O1" i="8"/>
  <c r="C1" i="8"/>
  <c r="B1" i="8"/>
  <c r="A1" i="8"/>
  <c r="H73" i="5" l="1"/>
  <c r="I73" i="5"/>
  <c r="L73" i="5"/>
  <c r="L27" i="5"/>
  <c r="Q27" i="5" s="1"/>
  <c r="L11" i="5"/>
  <c r="G118" i="5"/>
  <c r="F118" i="5"/>
  <c r="L10" i="5"/>
  <c r="I11" i="5"/>
  <c r="H11" i="5"/>
  <c r="H10" i="5"/>
  <c r="H12" i="5"/>
  <c r="I12" i="5"/>
  <c r="L12" i="5"/>
  <c r="H13" i="5"/>
  <c r="I13" i="5"/>
  <c r="L13" i="5"/>
  <c r="H15" i="5"/>
  <c r="I15" i="5"/>
  <c r="L15" i="5"/>
  <c r="H16" i="5"/>
  <c r="I16" i="5"/>
  <c r="L16" i="5"/>
  <c r="H17" i="5"/>
  <c r="L17" i="5"/>
  <c r="E2" i="8"/>
  <c r="F2" i="8"/>
  <c r="H20" i="5"/>
  <c r="L14" i="5"/>
  <c r="L9" i="5" l="1"/>
  <c r="K2" i="8" s="1"/>
  <c r="P2" i="8" s="1"/>
  <c r="Q73" i="5"/>
  <c r="O73" i="5"/>
  <c r="I14" i="5"/>
  <c r="I9" i="5" s="1"/>
  <c r="H14" i="5"/>
  <c r="H9" i="5" s="1"/>
  <c r="H2" i="8" l="1"/>
  <c r="Q2" i="8" s="1"/>
  <c r="R2" i="8" s="1"/>
  <c r="R73" i="5"/>
  <c r="H35" i="5" l="1"/>
  <c r="I35" i="5"/>
  <c r="H36" i="5"/>
  <c r="I36" i="5"/>
  <c r="H37" i="5"/>
  <c r="I37" i="5"/>
  <c r="H38" i="5"/>
  <c r="I38" i="5"/>
  <c r="H39" i="5"/>
  <c r="I39" i="5"/>
  <c r="H40" i="5"/>
  <c r="I40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O27" i="5"/>
  <c r="I26" i="5"/>
  <c r="H34" i="5"/>
  <c r="G4" i="8" s="1"/>
  <c r="I33" i="5"/>
  <c r="H33" i="5"/>
  <c r="I32" i="5"/>
  <c r="H32" i="5"/>
  <c r="I29" i="5"/>
  <c r="H29" i="5"/>
  <c r="I28" i="5"/>
  <c r="H28" i="5"/>
  <c r="H26" i="5"/>
  <c r="I25" i="5"/>
  <c r="H25" i="5"/>
  <c r="H23" i="5"/>
  <c r="I22" i="5"/>
  <c r="H22" i="5"/>
  <c r="I21" i="5"/>
  <c r="H21" i="5"/>
  <c r="D5" i="9"/>
  <c r="I19" i="5" l="1"/>
  <c r="I34" i="5"/>
  <c r="H4" i="8" s="1"/>
  <c r="E5" i="9"/>
  <c r="E4" i="9"/>
  <c r="D3" i="9"/>
  <c r="E3" i="9"/>
  <c r="I41" i="5"/>
  <c r="H5" i="8" s="1"/>
  <c r="H27" i="5"/>
  <c r="H24" i="5"/>
  <c r="I56" i="5"/>
  <c r="I57" i="5"/>
  <c r="I58" i="5"/>
  <c r="I60" i="5"/>
  <c r="I61" i="5"/>
  <c r="I62" i="5"/>
  <c r="I63" i="5"/>
  <c r="I64" i="5"/>
  <c r="I67" i="5"/>
  <c r="I69" i="5"/>
  <c r="I70" i="5"/>
  <c r="I71" i="5"/>
  <c r="I72" i="5"/>
  <c r="I75" i="5"/>
  <c r="I76" i="5"/>
  <c r="I78" i="5"/>
  <c r="I79" i="5"/>
  <c r="I80" i="5"/>
  <c r="I82" i="5"/>
  <c r="I83" i="5"/>
  <c r="I84" i="5"/>
  <c r="I86" i="5"/>
  <c r="I87" i="5"/>
  <c r="I88" i="5"/>
  <c r="I89" i="5"/>
  <c r="I91" i="5"/>
  <c r="I92" i="5"/>
  <c r="I93" i="5"/>
  <c r="I96" i="5"/>
  <c r="I97" i="5"/>
  <c r="I98" i="5"/>
  <c r="I99" i="5"/>
  <c r="I100" i="5"/>
  <c r="I101" i="5"/>
  <c r="I102" i="5"/>
  <c r="I104" i="5"/>
  <c r="I105" i="5"/>
  <c r="I106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2" i="5"/>
  <c r="I123" i="5"/>
  <c r="I124" i="5"/>
  <c r="L20" i="5"/>
  <c r="O20" i="5" s="1"/>
  <c r="L21" i="5"/>
  <c r="L22" i="5"/>
  <c r="L25" i="5"/>
  <c r="Q25" i="5" s="1"/>
  <c r="L26" i="5"/>
  <c r="Q26" i="5" s="1"/>
  <c r="L28" i="5"/>
  <c r="Q28" i="5" s="1"/>
  <c r="L29" i="5"/>
  <c r="Q29" i="5" s="1"/>
  <c r="L32" i="5"/>
  <c r="L33" i="5"/>
  <c r="L35" i="5"/>
  <c r="Q35" i="5" s="1"/>
  <c r="L36" i="5"/>
  <c r="L37" i="5"/>
  <c r="L40" i="5"/>
  <c r="L42" i="5"/>
  <c r="L43" i="5"/>
  <c r="L44" i="5"/>
  <c r="L46" i="5"/>
  <c r="L47" i="5"/>
  <c r="L48" i="5"/>
  <c r="L49" i="5"/>
  <c r="L50" i="5"/>
  <c r="L51" i="5"/>
  <c r="L56" i="5"/>
  <c r="L57" i="5"/>
  <c r="L58" i="5"/>
  <c r="L60" i="5"/>
  <c r="L61" i="5"/>
  <c r="L62" i="5"/>
  <c r="L63" i="5"/>
  <c r="L64" i="5"/>
  <c r="L67" i="5"/>
  <c r="L69" i="5"/>
  <c r="L70" i="5"/>
  <c r="L71" i="5"/>
  <c r="L72" i="5"/>
  <c r="L75" i="5"/>
  <c r="L76" i="5"/>
  <c r="L78" i="5"/>
  <c r="L79" i="5"/>
  <c r="L80" i="5"/>
  <c r="L82" i="5"/>
  <c r="L83" i="5"/>
  <c r="L84" i="5"/>
  <c r="L86" i="5"/>
  <c r="L87" i="5"/>
  <c r="L88" i="5"/>
  <c r="L89" i="5"/>
  <c r="L91" i="5"/>
  <c r="L92" i="5"/>
  <c r="L93" i="5"/>
  <c r="L95" i="5"/>
  <c r="O95" i="5" s="1"/>
  <c r="L96" i="5"/>
  <c r="L98" i="5"/>
  <c r="L99" i="5"/>
  <c r="L100" i="5"/>
  <c r="L101" i="5"/>
  <c r="L102" i="5"/>
  <c r="L104" i="5"/>
  <c r="L105" i="5"/>
  <c r="L106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2" i="5"/>
  <c r="L123" i="5"/>
  <c r="L124" i="5"/>
  <c r="E2" i="9"/>
  <c r="H19" i="5" l="1"/>
  <c r="H3" i="8"/>
  <c r="Q24" i="5"/>
  <c r="Q31" i="5"/>
  <c r="Q30" i="5"/>
  <c r="AD2" i="8"/>
  <c r="V2" i="8"/>
  <c r="I121" i="5"/>
  <c r="L108" i="5"/>
  <c r="K15" i="8" s="1"/>
  <c r="I108" i="5"/>
  <c r="H15" i="8" s="1"/>
  <c r="L94" i="5"/>
  <c r="I94" i="5"/>
  <c r="L90" i="5"/>
  <c r="I90" i="5"/>
  <c r="L85" i="5"/>
  <c r="Q86" i="5"/>
  <c r="I85" i="5"/>
  <c r="L81" i="5"/>
  <c r="I81" i="5"/>
  <c r="L77" i="5"/>
  <c r="I77" i="5"/>
  <c r="L74" i="5"/>
  <c r="I74" i="5"/>
  <c r="L59" i="5"/>
  <c r="K7" i="8" s="1"/>
  <c r="I59" i="5"/>
  <c r="H7" i="8" s="1"/>
  <c r="L19" i="5"/>
  <c r="K3" i="8" s="1"/>
  <c r="L121" i="5"/>
  <c r="BQ2" i="8" l="1"/>
  <c r="K16" i="8"/>
  <c r="H9" i="8"/>
  <c r="AT2" i="8" s="1"/>
  <c r="K9" i="8"/>
  <c r="AS2" i="8" s="1"/>
  <c r="H10" i="8"/>
  <c r="AX2" i="8" s="1"/>
  <c r="K10" i="8"/>
  <c r="AW2" i="8" s="1"/>
  <c r="H11" i="8"/>
  <c r="BB2" i="8" s="1"/>
  <c r="K11" i="8"/>
  <c r="BA2" i="8" s="1"/>
  <c r="H12" i="8"/>
  <c r="BF2" i="8" s="1"/>
  <c r="K12" i="8"/>
  <c r="BE2" i="8" s="1"/>
  <c r="H13" i="8"/>
  <c r="BJ2" i="8" s="1"/>
  <c r="K13" i="8"/>
  <c r="BI2" i="8" s="1"/>
  <c r="H14" i="8"/>
  <c r="BN2" i="8" s="1"/>
  <c r="K14" i="8"/>
  <c r="BM2" i="8" s="1"/>
  <c r="BR2" i="8"/>
  <c r="H16" i="8"/>
  <c r="L45" i="5"/>
  <c r="L41" i="5" s="1"/>
  <c r="K5" i="8" s="1"/>
  <c r="L38" i="5"/>
  <c r="L53" i="5"/>
  <c r="I53" i="5"/>
  <c r="L68" i="5"/>
  <c r="I68" i="5"/>
  <c r="H83" i="5"/>
  <c r="H82" i="5"/>
  <c r="H80" i="5"/>
  <c r="AC2" i="8" l="1"/>
  <c r="U2" i="8"/>
  <c r="L54" i="5"/>
  <c r="I54" i="5"/>
  <c r="Z2" i="8" s="1"/>
  <c r="I66" i="5"/>
  <c r="I65" i="5" s="1"/>
  <c r="L66" i="5"/>
  <c r="L65" i="5" s="1"/>
  <c r="L39" i="5"/>
  <c r="L34" i="5" s="1"/>
  <c r="K4" i="8" s="1"/>
  <c r="AK2" i="8" l="1"/>
  <c r="K8" i="8"/>
  <c r="AO2" i="8" s="1"/>
  <c r="AL2" i="8"/>
  <c r="H8" i="8"/>
  <c r="AP2" i="8" s="1"/>
  <c r="Y2" i="8"/>
  <c r="L55" i="5"/>
  <c r="L52" i="5" s="1"/>
  <c r="I55" i="5"/>
  <c r="I52" i="5" s="1"/>
  <c r="E125" i="5"/>
  <c r="D17" i="8" s="1"/>
  <c r="L139" i="5"/>
  <c r="I139" i="5"/>
  <c r="H139" i="5"/>
  <c r="A139" i="5"/>
  <c r="L138" i="5"/>
  <c r="I138" i="5"/>
  <c r="H138" i="5"/>
  <c r="A138" i="5"/>
  <c r="L137" i="5"/>
  <c r="I137" i="5"/>
  <c r="H137" i="5"/>
  <c r="A137" i="5"/>
  <c r="L136" i="5"/>
  <c r="I136" i="5"/>
  <c r="H136" i="5"/>
  <c r="A136" i="5"/>
  <c r="L135" i="5"/>
  <c r="I135" i="5"/>
  <c r="H135" i="5"/>
  <c r="A135" i="5"/>
  <c r="L134" i="5"/>
  <c r="I134" i="5"/>
  <c r="H134" i="5"/>
  <c r="A134" i="5"/>
  <c r="L133" i="5"/>
  <c r="I133" i="5"/>
  <c r="H133" i="5"/>
  <c r="A133" i="5"/>
  <c r="L132" i="5"/>
  <c r="I132" i="5"/>
  <c r="H132" i="5"/>
  <c r="A132" i="5"/>
  <c r="L131" i="5"/>
  <c r="I131" i="5"/>
  <c r="H131" i="5"/>
  <c r="A131" i="5"/>
  <c r="L130" i="5"/>
  <c r="I130" i="5"/>
  <c r="H130" i="5"/>
  <c r="A130" i="5"/>
  <c r="L129" i="5"/>
  <c r="I129" i="5"/>
  <c r="H129" i="5"/>
  <c r="A129" i="5"/>
  <c r="L128" i="5"/>
  <c r="I128" i="5"/>
  <c r="H128" i="5"/>
  <c r="A128" i="5"/>
  <c r="L127" i="5"/>
  <c r="I127" i="5"/>
  <c r="H127" i="5"/>
  <c r="A127" i="5"/>
  <c r="H6" i="8" l="1"/>
  <c r="AH2" i="8" s="1"/>
  <c r="K6" i="8"/>
  <c r="AG2" i="8" s="1"/>
  <c r="O127" i="5"/>
  <c r="Q128" i="5"/>
  <c r="Q130" i="5"/>
  <c r="Q136" i="5"/>
  <c r="Q138" i="5"/>
  <c r="Q127" i="5"/>
  <c r="O129" i="5"/>
  <c r="O131" i="5"/>
  <c r="Q129" i="5"/>
  <c r="Q131" i="5"/>
  <c r="Q133" i="5"/>
  <c r="Q135" i="5"/>
  <c r="Q137" i="5"/>
  <c r="Q139" i="5"/>
  <c r="O132" i="5"/>
  <c r="O134" i="5"/>
  <c r="O128" i="5"/>
  <c r="O133" i="5"/>
  <c r="O135" i="5"/>
  <c r="O137" i="5"/>
  <c r="O130" i="5"/>
  <c r="Q132" i="5"/>
  <c r="O139" i="5"/>
  <c r="Q134" i="5"/>
  <c r="O136" i="5"/>
  <c r="O138" i="5"/>
  <c r="R138" i="5" l="1"/>
  <c r="R139" i="5"/>
  <c r="R132" i="5"/>
  <c r="R135" i="5"/>
  <c r="R137" i="5"/>
  <c r="R130" i="5"/>
  <c r="R131" i="5"/>
  <c r="R128" i="5"/>
  <c r="R134" i="5"/>
  <c r="R127" i="5"/>
  <c r="R129" i="5"/>
  <c r="R136" i="5"/>
  <c r="R133" i="5"/>
  <c r="A126" i="5"/>
  <c r="L126" i="5"/>
  <c r="I126" i="5"/>
  <c r="I125" i="5" s="1"/>
  <c r="I8" i="5" s="1"/>
  <c r="H126" i="5"/>
  <c r="H125" i="5" s="1"/>
  <c r="G17" i="8" s="1"/>
  <c r="H123" i="5"/>
  <c r="H124" i="5"/>
  <c r="E121" i="5"/>
  <c r="D16" i="8" s="1"/>
  <c r="E108" i="5"/>
  <c r="D15" i="8" s="1"/>
  <c r="E94" i="5"/>
  <c r="D14" i="8" s="1"/>
  <c r="E81" i="5"/>
  <c r="D11" i="8" s="1"/>
  <c r="A84" i="5"/>
  <c r="A11" i="5"/>
  <c r="E65" i="5"/>
  <c r="D8" i="8" s="1"/>
  <c r="E59" i="5"/>
  <c r="D7" i="8" s="1"/>
  <c r="E52" i="5"/>
  <c r="D6" i="8" s="1"/>
  <c r="A51" i="5"/>
  <c r="E19" i="5"/>
  <c r="D3" i="8" s="1"/>
  <c r="E9" i="5"/>
  <c r="D2" i="8" s="1"/>
  <c r="L125" i="5" l="1"/>
  <c r="K17" i="8" s="1"/>
  <c r="O126" i="5"/>
  <c r="O125" i="5" s="1"/>
  <c r="N17" i="8" s="1"/>
  <c r="H17" i="8"/>
  <c r="I17" i="8"/>
  <c r="BU2" i="8"/>
  <c r="BV2" i="8"/>
  <c r="Q33" i="5"/>
  <c r="Q123" i="5"/>
  <c r="H121" i="5"/>
  <c r="G16" i="8" s="1"/>
  <c r="Q122" i="5"/>
  <c r="Q124" i="5"/>
  <c r="Q126" i="5"/>
  <c r="Q125" i="5" s="1"/>
  <c r="O123" i="5"/>
  <c r="O124" i="5"/>
  <c r="O122" i="5"/>
  <c r="Q84" i="5"/>
  <c r="O84" i="5"/>
  <c r="O33" i="5"/>
  <c r="O51" i="5"/>
  <c r="Q51" i="5"/>
  <c r="L8" i="5" l="1"/>
  <c r="O8" i="5" s="1"/>
  <c r="Q11" i="5"/>
  <c r="L17" i="8"/>
  <c r="R123" i="5"/>
  <c r="R125" i="5"/>
  <c r="R122" i="5"/>
  <c r="R124" i="5"/>
  <c r="R84" i="5"/>
  <c r="O17" i="8"/>
  <c r="R126" i="5"/>
  <c r="R51" i="5"/>
  <c r="E85" i="5"/>
  <c r="D12" i="8" s="1"/>
  <c r="A124" i="5"/>
  <c r="A123" i="5"/>
  <c r="A122" i="5"/>
  <c r="H120" i="5"/>
  <c r="A120" i="5"/>
  <c r="H119" i="5"/>
  <c r="A119" i="5"/>
  <c r="H118" i="5"/>
  <c r="A118" i="5"/>
  <c r="H117" i="5"/>
  <c r="A117" i="5"/>
  <c r="H116" i="5"/>
  <c r="A116" i="5"/>
  <c r="H115" i="5"/>
  <c r="A115" i="5"/>
  <c r="H114" i="5"/>
  <c r="A114" i="5"/>
  <c r="H113" i="5"/>
  <c r="A113" i="5"/>
  <c r="H112" i="5"/>
  <c r="A112" i="5"/>
  <c r="H111" i="5"/>
  <c r="A111" i="5"/>
  <c r="H110" i="5"/>
  <c r="A110" i="5"/>
  <c r="H109" i="5"/>
  <c r="A109" i="5"/>
  <c r="H106" i="5"/>
  <c r="H105" i="5"/>
  <c r="H104" i="5"/>
  <c r="H102" i="5"/>
  <c r="A102" i="5"/>
  <c r="H101" i="5"/>
  <c r="A101" i="5"/>
  <c r="H100" i="5"/>
  <c r="A100" i="5"/>
  <c r="H99" i="5"/>
  <c r="A99" i="5"/>
  <c r="H98" i="5"/>
  <c r="A98" i="5"/>
  <c r="A97" i="5"/>
  <c r="H96" i="5"/>
  <c r="A96" i="5"/>
  <c r="H95" i="5"/>
  <c r="A95" i="5"/>
  <c r="H93" i="5"/>
  <c r="A93" i="5"/>
  <c r="H92" i="5"/>
  <c r="A92" i="5"/>
  <c r="H91" i="5"/>
  <c r="A91" i="5"/>
  <c r="E90" i="5"/>
  <c r="D13" i="8" s="1"/>
  <c r="H89" i="5"/>
  <c r="A89" i="5"/>
  <c r="H88" i="5"/>
  <c r="A88" i="5"/>
  <c r="H87" i="5"/>
  <c r="A87" i="5"/>
  <c r="H86" i="5"/>
  <c r="A86" i="5"/>
  <c r="A83" i="5"/>
  <c r="A82" i="5"/>
  <c r="A80" i="5"/>
  <c r="H79" i="5"/>
  <c r="A79" i="5"/>
  <c r="H78" i="5"/>
  <c r="A78" i="5"/>
  <c r="E77" i="5"/>
  <c r="D10" i="8" s="1"/>
  <c r="H76" i="5"/>
  <c r="A76" i="5"/>
  <c r="H75" i="5"/>
  <c r="A75" i="5"/>
  <c r="E74" i="5"/>
  <c r="D9" i="8" s="1"/>
  <c r="H72" i="5"/>
  <c r="A72" i="5"/>
  <c r="H71" i="5"/>
  <c r="A71" i="5"/>
  <c r="H70" i="5"/>
  <c r="A70" i="5"/>
  <c r="H69" i="5"/>
  <c r="A69" i="5"/>
  <c r="H68" i="5"/>
  <c r="A68" i="5"/>
  <c r="H67" i="5"/>
  <c r="A67" i="5"/>
  <c r="H66" i="5"/>
  <c r="A66" i="5"/>
  <c r="H64" i="5"/>
  <c r="A64" i="5"/>
  <c r="H63" i="5"/>
  <c r="A63" i="5"/>
  <c r="H62" i="5"/>
  <c r="A62" i="5"/>
  <c r="H61" i="5"/>
  <c r="A61" i="5"/>
  <c r="H60" i="5"/>
  <c r="A60" i="5"/>
  <c r="H58" i="5"/>
  <c r="A58" i="5"/>
  <c r="H57" i="5"/>
  <c r="A57" i="5"/>
  <c r="H56" i="5"/>
  <c r="A56" i="5"/>
  <c r="H55" i="5"/>
  <c r="A55" i="5"/>
  <c r="H54" i="5"/>
  <c r="A54" i="5"/>
  <c r="H53" i="5"/>
  <c r="A53" i="5"/>
  <c r="A50" i="5"/>
  <c r="A49" i="5"/>
  <c r="A48" i="5"/>
  <c r="A47" i="5"/>
  <c r="A46" i="5"/>
  <c r="A45" i="5"/>
  <c r="A44" i="5"/>
  <c r="A43" i="5"/>
  <c r="A42" i="5"/>
  <c r="A40" i="5"/>
  <c r="A39" i="5"/>
  <c r="A38" i="5"/>
  <c r="A37" i="5"/>
  <c r="A36" i="5"/>
  <c r="A35" i="5"/>
  <c r="A26" i="5"/>
  <c r="A25" i="5"/>
  <c r="A24" i="5"/>
  <c r="A23" i="5"/>
  <c r="A22" i="5"/>
  <c r="A21" i="5"/>
  <c r="A20" i="5"/>
  <c r="A17" i="5"/>
  <c r="A16" i="5"/>
  <c r="A15" i="5"/>
  <c r="A14" i="5"/>
  <c r="A13" i="5"/>
  <c r="A12" i="5"/>
  <c r="A10" i="5"/>
  <c r="I8" i="8" l="1"/>
  <c r="AR2" i="8" s="1"/>
  <c r="I15" i="8"/>
  <c r="H65" i="5"/>
  <c r="G8" i="8" s="1"/>
  <c r="I13" i="8"/>
  <c r="I7" i="8"/>
  <c r="AN2" i="8" s="1"/>
  <c r="I9" i="8"/>
  <c r="I12" i="8"/>
  <c r="BH2" i="8" s="1"/>
  <c r="I4" i="8"/>
  <c r="Q32" i="5"/>
  <c r="H108" i="5"/>
  <c r="G15" i="8" s="1"/>
  <c r="H94" i="5"/>
  <c r="G14" i="8" s="1"/>
  <c r="H81" i="5"/>
  <c r="G11" i="8" s="1"/>
  <c r="H52" i="5"/>
  <c r="G6" i="8" s="1"/>
  <c r="H59" i="5"/>
  <c r="G7" i="8" s="1"/>
  <c r="H41" i="5"/>
  <c r="G5" i="8" s="1"/>
  <c r="G3" i="8"/>
  <c r="G2" i="8"/>
  <c r="H85" i="5"/>
  <c r="G12" i="8" s="1"/>
  <c r="O79" i="5"/>
  <c r="O71" i="5"/>
  <c r="O97" i="5"/>
  <c r="O96" i="5"/>
  <c r="O93" i="5"/>
  <c r="O47" i="5"/>
  <c r="O49" i="5"/>
  <c r="O110" i="5"/>
  <c r="H77" i="5"/>
  <c r="G10" i="8" s="1"/>
  <c r="O22" i="5"/>
  <c r="O91" i="5"/>
  <c r="O109" i="5"/>
  <c r="O111" i="5"/>
  <c r="O115" i="5"/>
  <c r="O72" i="5"/>
  <c r="H90" i="5"/>
  <c r="G13" i="8" s="1"/>
  <c r="O106" i="5"/>
  <c r="H74" i="5"/>
  <c r="G9" i="8" s="1"/>
  <c r="O112" i="5"/>
  <c r="O117" i="5"/>
  <c r="O114" i="5"/>
  <c r="O120" i="5"/>
  <c r="O113" i="5"/>
  <c r="O119" i="5"/>
  <c r="O116" i="5"/>
  <c r="O118" i="5"/>
  <c r="O100" i="5"/>
  <c r="O102" i="5"/>
  <c r="O99" i="5"/>
  <c r="O98" i="5"/>
  <c r="O101" i="5"/>
  <c r="O104" i="5"/>
  <c r="O105" i="5"/>
  <c r="O92" i="5"/>
  <c r="O86" i="5"/>
  <c r="O88" i="5"/>
  <c r="O87" i="5"/>
  <c r="O89" i="5"/>
  <c r="O83" i="5"/>
  <c r="O82" i="5"/>
  <c r="O78" i="5"/>
  <c r="O80" i="5"/>
  <c r="O76" i="5"/>
  <c r="O75" i="5"/>
  <c r="O68" i="5"/>
  <c r="O70" i="5"/>
  <c r="O21" i="5"/>
  <c r="O29" i="5"/>
  <c r="O46" i="5"/>
  <c r="O48" i="5"/>
  <c r="O50" i="5"/>
  <c r="O25" i="5"/>
  <c r="O23" i="5"/>
  <c r="O69" i="5"/>
  <c r="O14" i="5"/>
  <c r="O28" i="5"/>
  <c r="O67" i="5"/>
  <c r="O24" i="5"/>
  <c r="O26" i="5"/>
  <c r="O32" i="5"/>
  <c r="O35" i="5"/>
  <c r="O37" i="5"/>
  <c r="O39" i="5"/>
  <c r="O36" i="5"/>
  <c r="O38" i="5"/>
  <c r="O40" i="5"/>
  <c r="O42" i="5"/>
  <c r="O44" i="5"/>
  <c r="O45" i="5"/>
  <c r="O54" i="5"/>
  <c r="O58" i="5"/>
  <c r="O56" i="5"/>
  <c r="O57" i="5"/>
  <c r="O55" i="5"/>
  <c r="O61" i="5"/>
  <c r="O63" i="5"/>
  <c r="O62" i="5"/>
  <c r="O64" i="5"/>
  <c r="O60" i="5"/>
  <c r="O66" i="5"/>
  <c r="O53" i="5"/>
  <c r="O16" i="5"/>
  <c r="O11" i="5"/>
  <c r="O13" i="5"/>
  <c r="O15" i="5"/>
  <c r="O17" i="5"/>
  <c r="O10" i="5"/>
  <c r="O12" i="5"/>
  <c r="Q96" i="5"/>
  <c r="Q56" i="5"/>
  <c r="Q62" i="5"/>
  <c r="Q45" i="5"/>
  <c r="Q54" i="5"/>
  <c r="Q58" i="5"/>
  <c r="Q112" i="5"/>
  <c r="Q67" i="5"/>
  <c r="Q39" i="5"/>
  <c r="Q78" i="5"/>
  <c r="Q92" i="5"/>
  <c r="Q106" i="5"/>
  <c r="Q42" i="5"/>
  <c r="Q50" i="5"/>
  <c r="Q66" i="5"/>
  <c r="Q64" i="5"/>
  <c r="Q80" i="5"/>
  <c r="Q99" i="5"/>
  <c r="Q104" i="5"/>
  <c r="Q109" i="5"/>
  <c r="Q117" i="5"/>
  <c r="Q120" i="5"/>
  <c r="Q115" i="5"/>
  <c r="Q119" i="5"/>
  <c r="Q71" i="5"/>
  <c r="Q113" i="5"/>
  <c r="Q49" i="5"/>
  <c r="Q55" i="5"/>
  <c r="Q69" i="5"/>
  <c r="Q114" i="5"/>
  <c r="Q118" i="5"/>
  <c r="Q38" i="5"/>
  <c r="Q63" i="5"/>
  <c r="Q72" i="5"/>
  <c r="Q82" i="5"/>
  <c r="Q87" i="5"/>
  <c r="Q111" i="5"/>
  <c r="Q37" i="5"/>
  <c r="Q36" i="5"/>
  <c r="Q48" i="5"/>
  <c r="Q75" i="5"/>
  <c r="Q95" i="5"/>
  <c r="Q105" i="5"/>
  <c r="Q47" i="5"/>
  <c r="Q60" i="5"/>
  <c r="Q83" i="5"/>
  <c r="Q88" i="5"/>
  <c r="Q102" i="5"/>
  <c r="Q97" i="5"/>
  <c r="Q101" i="5"/>
  <c r="Q40" i="5"/>
  <c r="Q44" i="5"/>
  <c r="Q110" i="5"/>
  <c r="Q116" i="5"/>
  <c r="Q70" i="5"/>
  <c r="Q76" i="5"/>
  <c r="Q100" i="5"/>
  <c r="Q46" i="5"/>
  <c r="Q53" i="5"/>
  <c r="Q61" i="5"/>
  <c r="G8" i="5"/>
  <c r="Q57" i="5"/>
  <c r="Q68" i="5"/>
  <c r="Q79" i="5"/>
  <c r="Q98" i="5"/>
  <c r="Q89" i="5"/>
  <c r="Q93" i="5"/>
  <c r="Q91" i="5"/>
  <c r="O94" i="5" l="1"/>
  <c r="N14" i="8" s="1"/>
  <c r="O9" i="5"/>
  <c r="N2" i="8" s="1"/>
  <c r="Q34" i="5"/>
  <c r="Q17" i="5"/>
  <c r="R17" i="5" s="1"/>
  <c r="R29" i="5"/>
  <c r="R32" i="5"/>
  <c r="O108" i="5"/>
  <c r="N15" i="8" s="1"/>
  <c r="O59" i="5"/>
  <c r="N7" i="8" s="1"/>
  <c r="O52" i="5"/>
  <c r="N6" i="8" s="1"/>
  <c r="Q23" i="5"/>
  <c r="R23" i="5" s="1"/>
  <c r="R26" i="5"/>
  <c r="AB2" i="8"/>
  <c r="O19" i="5"/>
  <c r="N3" i="8" s="1"/>
  <c r="R25" i="5"/>
  <c r="Q21" i="5"/>
  <c r="R21" i="5" s="1"/>
  <c r="Q22" i="5"/>
  <c r="R22" i="5" s="1"/>
  <c r="Q20" i="5"/>
  <c r="R24" i="5"/>
  <c r="Q16" i="5"/>
  <c r="R16" i="5" s="1"/>
  <c r="Q14" i="5"/>
  <c r="R14" i="5" s="1"/>
  <c r="Q12" i="5"/>
  <c r="R12" i="5" s="1"/>
  <c r="Q15" i="5"/>
  <c r="R15" i="5" s="1"/>
  <c r="Q13" i="5"/>
  <c r="R13" i="5" s="1"/>
  <c r="R33" i="5"/>
  <c r="BT2" i="8"/>
  <c r="I16" i="8"/>
  <c r="BX2" i="8" s="1"/>
  <c r="BL2" i="8"/>
  <c r="I14" i="8"/>
  <c r="BP2" i="8" s="1"/>
  <c r="I11" i="8"/>
  <c r="BD2" i="8" s="1"/>
  <c r="AV2" i="8"/>
  <c r="I10" i="8"/>
  <c r="AZ2" i="8" s="1"/>
  <c r="L2" i="8"/>
  <c r="S2" i="8" s="1"/>
  <c r="I5" i="8"/>
  <c r="I3" i="8"/>
  <c r="Q90" i="5"/>
  <c r="Q65" i="5"/>
  <c r="O65" i="5"/>
  <c r="N8" i="8" s="1"/>
  <c r="R120" i="5"/>
  <c r="R71" i="5"/>
  <c r="H8" i="5"/>
  <c r="R40" i="5"/>
  <c r="L3" i="8"/>
  <c r="R48" i="5"/>
  <c r="L7" i="8"/>
  <c r="L5" i="8"/>
  <c r="R38" i="5"/>
  <c r="R28" i="5"/>
  <c r="R92" i="5"/>
  <c r="L4" i="8"/>
  <c r="AA2" i="8" s="1"/>
  <c r="R99" i="5"/>
  <c r="R68" i="5"/>
  <c r="R45" i="5"/>
  <c r="R113" i="5"/>
  <c r="R91" i="5"/>
  <c r="R49" i="5"/>
  <c r="L15" i="8"/>
  <c r="R117" i="5"/>
  <c r="R116" i="5"/>
  <c r="R112" i="5"/>
  <c r="R115" i="5"/>
  <c r="R89" i="5"/>
  <c r="R88" i="5"/>
  <c r="R83" i="5"/>
  <c r="R79" i="5"/>
  <c r="R61" i="5"/>
  <c r="R54" i="5"/>
  <c r="R36" i="5"/>
  <c r="R39" i="5"/>
  <c r="O34" i="5"/>
  <c r="N4" i="8" s="1"/>
  <c r="Q108" i="5"/>
  <c r="Q94" i="5"/>
  <c r="Q81" i="5"/>
  <c r="O81" i="5"/>
  <c r="N11" i="8" s="1"/>
  <c r="R96" i="5"/>
  <c r="Q59" i="5"/>
  <c r="R102" i="5"/>
  <c r="Q52" i="5"/>
  <c r="R42" i="5"/>
  <c r="R35" i="5"/>
  <c r="R97" i="5"/>
  <c r="R46" i="5"/>
  <c r="R114" i="5"/>
  <c r="R118" i="5"/>
  <c r="R104" i="5"/>
  <c r="R100" i="5"/>
  <c r="R87" i="5"/>
  <c r="O77" i="5"/>
  <c r="N10" i="8" s="1"/>
  <c r="R56" i="5"/>
  <c r="R47" i="5"/>
  <c r="R110" i="5"/>
  <c r="R93" i="5"/>
  <c r="R70" i="5"/>
  <c r="R76" i="5"/>
  <c r="R67" i="5"/>
  <c r="R72" i="5"/>
  <c r="R111" i="5"/>
  <c r="R109" i="5"/>
  <c r="R119" i="5"/>
  <c r="R101" i="5"/>
  <c r="R57" i="5"/>
  <c r="R106" i="5"/>
  <c r="Q121" i="5"/>
  <c r="R95" i="5"/>
  <c r="R105" i="5"/>
  <c r="R98" i="5"/>
  <c r="O90" i="5"/>
  <c r="N13" i="8" s="1"/>
  <c r="O85" i="5"/>
  <c r="N12" i="8" s="1"/>
  <c r="Q85" i="5"/>
  <c r="R86" i="5"/>
  <c r="R82" i="5"/>
  <c r="R78" i="5"/>
  <c r="Q77" i="5"/>
  <c r="R80" i="5"/>
  <c r="Q74" i="5"/>
  <c r="O74" i="5"/>
  <c r="N9" i="8" s="1"/>
  <c r="R75" i="5"/>
  <c r="R69" i="5"/>
  <c r="R50" i="5"/>
  <c r="R62" i="5"/>
  <c r="R63" i="5"/>
  <c r="R11" i="5"/>
  <c r="R37" i="5"/>
  <c r="R44" i="5"/>
  <c r="R58" i="5"/>
  <c r="R55" i="5"/>
  <c r="R64" i="5"/>
  <c r="R66" i="5"/>
  <c r="R60" i="5"/>
  <c r="R53" i="5"/>
  <c r="Q19" i="5" l="1"/>
  <c r="O3" i="8"/>
  <c r="R20" i="5"/>
  <c r="L10" i="8"/>
  <c r="AY2" i="8" s="1"/>
  <c r="L14" i="8"/>
  <c r="BO2" i="8" s="1"/>
  <c r="L13" i="8"/>
  <c r="BK2" i="8" s="1"/>
  <c r="AM2" i="8"/>
  <c r="L8" i="8"/>
  <c r="AQ2" i="8" s="1"/>
  <c r="L6" i="8"/>
  <c r="AI2" i="8" s="1"/>
  <c r="BS2" i="8"/>
  <c r="L16" i="8"/>
  <c r="BW2" i="8" s="1"/>
  <c r="AE2" i="8"/>
  <c r="W2" i="8"/>
  <c r="L12" i="8"/>
  <c r="BG2" i="8" s="1"/>
  <c r="L11" i="8"/>
  <c r="BC2" i="8" s="1"/>
  <c r="L9" i="8"/>
  <c r="AU2" i="8" s="1"/>
  <c r="X2" i="8"/>
  <c r="AF2" i="8"/>
  <c r="I6" i="8"/>
  <c r="AJ2" i="8" s="1"/>
  <c r="O8" i="8"/>
  <c r="O13" i="8"/>
  <c r="R81" i="5"/>
  <c r="O9" i="8"/>
  <c r="R90" i="5"/>
  <c r="R34" i="5"/>
  <c r="O15" i="8"/>
  <c r="O14" i="8"/>
  <c r="O11" i="8"/>
  <c r="O7" i="8"/>
  <c r="O6" i="8"/>
  <c r="O4" i="8"/>
  <c r="O10" i="8"/>
  <c r="R77" i="5"/>
  <c r="O16" i="8"/>
  <c r="R65" i="5"/>
  <c r="O12" i="8"/>
  <c r="R85" i="5"/>
  <c r="R108" i="5"/>
  <c r="R94" i="5"/>
  <c r="R74" i="5"/>
  <c r="R59" i="5"/>
  <c r="R52" i="5"/>
  <c r="R19" i="5" l="1"/>
  <c r="CD2" i="8"/>
  <c r="O121" i="5"/>
  <c r="N16" i="8" s="1"/>
  <c r="R121" i="5" l="1"/>
  <c r="E41" i="5"/>
  <c r="E8" i="5" l="1"/>
  <c r="D5" i="8"/>
  <c r="O43" i="5"/>
  <c r="Q43" i="5"/>
  <c r="Q41" i="5" s="1"/>
  <c r="O5" i="8" l="1"/>
  <c r="O41" i="5"/>
  <c r="R43" i="5"/>
  <c r="R41" i="5" l="1"/>
  <c r="N5" i="8"/>
  <c r="M2" i="8" l="1"/>
  <c r="D4" i="9"/>
  <c r="Q10" i="5" l="1"/>
  <c r="Q9" i="5" s="1"/>
  <c r="R9" i="5" l="1"/>
  <c r="Q8" i="5"/>
  <c r="O2" i="8"/>
  <c r="R10" i="5"/>
  <c r="I2" i="8"/>
  <c r="T2" i="8" s="1"/>
  <c r="R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</author>
  </authors>
  <commentList>
    <comment ref="C92" authorId="0" shapeId="0" xr:uid="{592E58F1-50EF-425A-92AF-7D32269E51A0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NÃO SEI O TIPO DO TELHADO </t>
        </r>
      </text>
    </comment>
    <comment ref="C109" authorId="0" shapeId="0" xr:uid="{65C63228-6291-456F-BD1E-AA808559A3FA}">
      <text>
        <r>
          <rPr>
            <b/>
            <sz val="9"/>
            <color indexed="81"/>
            <rFont val="Segoe UI"/>
            <family val="2"/>
          </rPr>
          <t xml:space="preserve">REVER VALORES </t>
        </r>
      </text>
    </comment>
    <comment ref="C110" authorId="0" shapeId="0" xr:uid="{3C2A060D-A093-4D41-BDDA-4084F046AFF6}">
      <text>
        <r>
          <rPr>
            <b/>
            <sz val="9"/>
            <color indexed="81"/>
            <rFont val="Segoe UI"/>
            <family val="2"/>
          </rPr>
          <t>Felipe:</t>
        </r>
        <r>
          <rPr>
            <sz val="9"/>
            <color indexed="81"/>
            <rFont val="Segoe UI"/>
            <family val="2"/>
          </rPr>
          <t xml:space="preserve">
REVER VALORES
</t>
        </r>
      </text>
    </comment>
  </commentList>
</comments>
</file>

<file path=xl/sharedStrings.xml><?xml version="1.0" encoding="utf-8"?>
<sst xmlns="http://schemas.openxmlformats.org/spreadsheetml/2006/main" count="598" uniqueCount="407">
  <si>
    <t>PLANILHA DE APURAÇÃO DE CUSTOS</t>
  </si>
  <si>
    <t>OBRA</t>
  </si>
  <si>
    <t>APURAÇÃO</t>
  </si>
  <si>
    <t>CLIENTE:</t>
  </si>
  <si>
    <t>Nº</t>
  </si>
  <si>
    <t>VALOR UNITÁRIO</t>
  </si>
  <si>
    <t>REALIZADO MÃO DE OBRA</t>
  </si>
  <si>
    <t>REALIZADO MATERIAIS</t>
  </si>
  <si>
    <t>ITEM</t>
  </si>
  <si>
    <t>DESCRICAO</t>
  </si>
  <si>
    <t>UND</t>
  </si>
  <si>
    <t>QTD</t>
  </si>
  <si>
    <t>MATERIAIS</t>
  </si>
  <si>
    <t>MÃO DE OBRA</t>
  </si>
  <si>
    <t>ORÇAMENTO UNIT</t>
  </si>
  <si>
    <t>ORÇADO</t>
  </si>
  <si>
    <t>REALIZADO</t>
  </si>
  <si>
    <t>%</t>
  </si>
  <si>
    <t>ORÇAMENTO TOTAL</t>
  </si>
  <si>
    <t xml:space="preserve">SALDO </t>
  </si>
  <si>
    <t>PREVISÃO</t>
  </si>
  <si>
    <t>% BUDGET</t>
  </si>
  <si>
    <t>SERVIÇOS PRELIMINARES</t>
  </si>
  <si>
    <t>1.1</t>
  </si>
  <si>
    <t>PLACA DE OBRA EM CHAPA DE ACO GALVANIZADO</t>
  </si>
  <si>
    <t>m2</t>
  </si>
  <si>
    <t>1.2</t>
  </si>
  <si>
    <t>BARRACAO DE OBRA ALOJAMENTO/ESCRITORIO</t>
  </si>
  <si>
    <t>1.3</t>
  </si>
  <si>
    <t>EQUIPAMENTOS PARA BARRACÃO</t>
  </si>
  <si>
    <t>vb</t>
  </si>
  <si>
    <t>1.4</t>
  </si>
  <si>
    <t>LIMPEZA MANUAL DE VEGETAÇÃO EM TERRENO</t>
  </si>
  <si>
    <t>1.5</t>
  </si>
  <si>
    <t>LOCACAO CONVENCIONAL DE OBRA (GABARITO)</t>
  </si>
  <si>
    <t>ml</t>
  </si>
  <si>
    <t>1.6</t>
  </si>
  <si>
    <t>MOVIMENTAÇÃO DE TERRA</t>
  </si>
  <si>
    <t>m3</t>
  </si>
  <si>
    <t>1.7</t>
  </si>
  <si>
    <t>TAPUME COM TELHA METÁLICA</t>
  </si>
  <si>
    <t>1.8</t>
  </si>
  <si>
    <t>INSTALAÇÃO PROVISÓRIA ELÉTRICA E HIDRÁULICA</t>
  </si>
  <si>
    <t>1.9</t>
  </si>
  <si>
    <t>DEMOLIÇÃO DE FUNDAÇÃO</t>
  </si>
  <si>
    <t xml:space="preserve">FUNDAÇÕES EM SAPATAS, LAJE DE PISO </t>
  </si>
  <si>
    <t>2.1</t>
  </si>
  <si>
    <t>ESCAVAÇÃO MANUAL DE VALA EM SOLO DE 1ª CATEGORIA, PROFUNDIDADE ENTRE 1,5 E 4,0 M</t>
  </si>
  <si>
    <t>2.2</t>
  </si>
  <si>
    <t>APILOAMENTO DE FUNDO DE VALAS</t>
  </si>
  <si>
    <t>2.3</t>
  </si>
  <si>
    <t>CONCRETO MAGRO, CONFECÇÃO E LANÇAMENTO (FCK=6MPA)</t>
  </si>
  <si>
    <t>2.4</t>
  </si>
  <si>
    <t>FABRICAÇÃO, MONTAGEM E DESMONTAGEM DE FÔRMA (1 REAPROVEITAMENTO / 2 USOS) - FUNDAÇÃO</t>
  </si>
  <si>
    <t>2.5</t>
  </si>
  <si>
    <t>ARMAÇÃO AÇO CA-50 (FUNDAÇÃO)</t>
  </si>
  <si>
    <t>kg</t>
  </si>
  <si>
    <t>2.6</t>
  </si>
  <si>
    <t>CONCRETO FCK = 30MPA, PREPARO MECÂNICO COM BETONEIRA (FUNDAÇÃO)</t>
  </si>
  <si>
    <t>2.7</t>
  </si>
  <si>
    <t>CARGA E BOTA FORA DE TERRA</t>
  </si>
  <si>
    <t>2.8</t>
  </si>
  <si>
    <t>CONTENÇÃO EM BLOCO DE CONCRETO</t>
  </si>
  <si>
    <t>2.9</t>
  </si>
  <si>
    <t>IMPERMEABILIZAÇÃO DE BALDRAMES E CONTENÇÕES</t>
  </si>
  <si>
    <t>2.10</t>
  </si>
  <si>
    <t>ESTRUTURA PARA ESCADA INTERNA SUBSOLO</t>
  </si>
  <si>
    <t>2.11</t>
  </si>
  <si>
    <t>CALHA PARA CAPTAÇÃO ÁGUA SUBSOLO</t>
  </si>
  <si>
    <t>2.12</t>
  </si>
  <si>
    <t>SISTEMA DE BOMBA PARA FUNDAÇÃO</t>
  </si>
  <si>
    <t>2.13</t>
  </si>
  <si>
    <t>ESTRUTURA PARA ESCADA EXTERNA</t>
  </si>
  <si>
    <t>2.14</t>
  </si>
  <si>
    <t>REATERRO MANUAL APILOADO</t>
  </si>
  <si>
    <t>SUPRA ESTRUTURA (ESTIMATIVA SEM PROJETO)</t>
  </si>
  <si>
    <t>3.1</t>
  </si>
  <si>
    <t>MONTAGEM E DESMONTAGEM DE FÔRMA DE PILARES EM PLASTIFICADO 12MM (1 REAPROVEITAMENTO / 2 USOS) - SUPRA ESTRUTURA</t>
  </si>
  <si>
    <t>3.2</t>
  </si>
  <si>
    <t>ARMAÇÃO AÇO CA-50 (SUPRA ESTRUTURA)</t>
  </si>
  <si>
    <t>3.3</t>
  </si>
  <si>
    <t>CONCRETO FCK = 30MPA, PREPARO MECÂNICO COM BETONEIRA (SUPRA ESTRUTURA)</t>
  </si>
  <si>
    <t>3.4</t>
  </si>
  <si>
    <t>LAJE PRE-MOLD COM BLOCO DE EPS H=21CM, COM CAPEAMENTO H=5 CM</t>
  </si>
  <si>
    <t>3.5</t>
  </si>
  <si>
    <t>ESCORAMENTO DE LAJE PRE-MOLDADA E VIGAS</t>
  </si>
  <si>
    <t>3.6</t>
  </si>
  <si>
    <t>ESTRUTURA PARA ESCADA EM CONCRETO</t>
  </si>
  <si>
    <t>und</t>
  </si>
  <si>
    <t>ALVENARIAS E FECHAMENTOS</t>
  </si>
  <si>
    <t>4.1</t>
  </si>
  <si>
    <t>ALVENARIA DE VEDAÇÃO DE BLOCOS CERÂMICOS FURADOS NA HORIZONTAL DE 9X19X24 CM (ESPESSURA 15 CM) COM ARGAMASSA DE CIMENTO E AREIA</t>
  </si>
  <si>
    <t>4.2</t>
  </si>
  <si>
    <t>PONTO DE MASSA (ALVENARIA)</t>
  </si>
  <si>
    <t>4.3</t>
  </si>
  <si>
    <t>ARESTAMENTOS DIVERSOS</t>
  </si>
  <si>
    <t>4.4</t>
  </si>
  <si>
    <t>ESQUADRIAS E PORTAS EM MADEIRA</t>
  </si>
  <si>
    <t>4.5</t>
  </si>
  <si>
    <t>PORTA PRINCIPAL EM MADEIRA</t>
  </si>
  <si>
    <t>4.6</t>
  </si>
  <si>
    <t>APERTO COMUM EM PAREDES</t>
  </si>
  <si>
    <t>4.7</t>
  </si>
  <si>
    <t>ESQUADRIAS E VIDROS EM ALUMINIO</t>
  </si>
  <si>
    <t>4.8</t>
  </si>
  <si>
    <t>GUARDA CORPO EM MADEIRA E VIDRO</t>
  </si>
  <si>
    <t>4.9</t>
  </si>
  <si>
    <t>VERGA EM CONCRETO</t>
  </si>
  <si>
    <t>4.10</t>
  </si>
  <si>
    <t>FACHADA EM MADEIRA (RIPADOS, BRISES, ETC)</t>
  </si>
  <si>
    <t>5.1</t>
  </si>
  <si>
    <t>REVESTIMENTOS PAREDE</t>
  </si>
  <si>
    <t>5.1.1</t>
  </si>
  <si>
    <t>CHAPISCO</t>
  </si>
  <si>
    <t>5.1.2</t>
  </si>
  <si>
    <t>MASSA ÚNICA EM PAREDES</t>
  </si>
  <si>
    <t>5.1.3</t>
  </si>
  <si>
    <t>PONTO DE MASSA (REVESTIMENTO DE PAREDE)</t>
  </si>
  <si>
    <t>5.1.4</t>
  </si>
  <si>
    <t>INSTALAÇÃO DE REVESTIMENTO EM PORCELANATO</t>
  </si>
  <si>
    <t>5.1.5</t>
  </si>
  <si>
    <t>REJUNTAMENTO EM PORCELANATO</t>
  </si>
  <si>
    <t>5.1.6</t>
  </si>
  <si>
    <t>REVESTIMENTO EM PEDRA NATURAL</t>
  </si>
  <si>
    <t>5.2</t>
  </si>
  <si>
    <t>REVESTIMENTOS TETO</t>
  </si>
  <si>
    <t>5.2.1</t>
  </si>
  <si>
    <t>FORRO EM DRYWALL, PARA AMBIENTES RESIDENCIAIS, INCLUSIVE ESTRUTURA DE FIXAÇÃO</t>
  </si>
  <si>
    <t>5.2.2</t>
  </si>
  <si>
    <t>FORRO PARA BEIRAL E TELHADO E INTERNO EM RIPADO CUMARU</t>
  </si>
  <si>
    <t>5.2.3</t>
  </si>
  <si>
    <t>EXECUÇÃO DE ALÇAPÃO DE GESSO ACARTONADO</t>
  </si>
  <si>
    <t>5.2.4</t>
  </si>
  <si>
    <t>TABICA METÁLICA 3X3 CM</t>
  </si>
  <si>
    <t>5.2.5</t>
  </si>
  <si>
    <t>RECOMPOSIÇÃO DE FORRO EM GESSO</t>
  </si>
  <si>
    <t>PAVIMENTAÇÃO</t>
  </si>
  <si>
    <t>6.1</t>
  </si>
  <si>
    <t>CONTRAPISO EM ARGAMASSA CIMENTO E AREIA, ESPESSURA 3 CM</t>
  </si>
  <si>
    <t>6.2</t>
  </si>
  <si>
    <t>PONTO DE MASSA (PAVIMENTAÇÃO)</t>
  </si>
  <si>
    <t>6.3</t>
  </si>
  <si>
    <t>INSTALAÇÃO DE PISO PERMEÁVEL</t>
  </si>
  <si>
    <t>6.4</t>
  </si>
  <si>
    <t>INSTALAÇÃO DE PISO EM PORCELANATO</t>
  </si>
  <si>
    <t>6.5</t>
  </si>
  <si>
    <t>INSTALAÇÃO DE RODAPÉ METALICO</t>
  </si>
  <si>
    <t>6.6</t>
  </si>
  <si>
    <t>INSTALAÇÃO DE DECK EM MADEIRA</t>
  </si>
  <si>
    <t>6.7</t>
  </si>
  <si>
    <t>REJUNTAMENTO DE PISOS E RODAPÉS EM PORCELANATO (MAT. + MO)</t>
  </si>
  <si>
    <t>6.8</t>
  </si>
  <si>
    <t>PISO INTERTRAVADO</t>
  </si>
  <si>
    <t>7.1</t>
  </si>
  <si>
    <t>FILETE DE BOX E SOLEIRA</t>
  </si>
  <si>
    <t>7.1.1</t>
  </si>
  <si>
    <t>COLOCAÇÃO DE FILETE PARA BOX EM MÁRMORE</t>
  </si>
  <si>
    <t>7.1.2</t>
  </si>
  <si>
    <t>COLOCAÇÃO DE SOLEIRA EM MÁRMORE, LARGURA 15 CM</t>
  </si>
  <si>
    <t>7.2</t>
  </si>
  <si>
    <t>BANCADA</t>
  </si>
  <si>
    <t>7.2.1</t>
  </si>
  <si>
    <t>ASSENTAMENTO DE BANCADA</t>
  </si>
  <si>
    <t>7.2.2</t>
  </si>
  <si>
    <t>FORNECIMENTO DE MARMORES</t>
  </si>
  <si>
    <t>7.2.3</t>
  </si>
  <si>
    <t>COLOCAÇÃO DE NICHO EM MARMÓRE, COM CORTE E ARESTAMENTO DE VÃO</t>
  </si>
  <si>
    <t>LOUÇAS E METAIS</t>
  </si>
  <si>
    <t>8.1</t>
  </si>
  <si>
    <t>INSTALAÇÕES LOUÇAS E METAIS</t>
  </si>
  <si>
    <t>8.2</t>
  </si>
  <si>
    <t>LOUÇAS E METAIS (MATERIAL)</t>
  </si>
  <si>
    <t>8.3</t>
  </si>
  <si>
    <t>INSTALAÇÃO DE ACESSORIOS</t>
  </si>
  <si>
    <t>PINTURA</t>
  </si>
  <si>
    <t>9.1</t>
  </si>
  <si>
    <t>APLICAÇÃO MANUAL DE TEXTURA EM PAREDES EXTERNAS SOBRE REBOCO, DUAS DEMÃOS</t>
  </si>
  <si>
    <t>9.2</t>
  </si>
  <si>
    <t>APLICAÇÃO MANUAL DE PINTURA COM TINTA LÁTEX ACRÍLICA COM EMASSAMENTO PVA EM TETO, DUAS DEMÃOS</t>
  </si>
  <si>
    <t>9.3</t>
  </si>
  <si>
    <t>APLICAÇÃO MANUAL DE PINTURA COM TINTA LÁTEX E MASSA ACRÍLICA EM PAREDES INTERNAS, DUAS DEMÃOS</t>
  </si>
  <si>
    <t>9.4</t>
  </si>
  <si>
    <t>APLICAÇÃO DE VERNIZ TIPO POLIKOL EM FORRO DE MADEIRA, EUCALIPTOS E ESQUADRIAS E PORTAS</t>
  </si>
  <si>
    <t>COBERTURA</t>
  </si>
  <si>
    <t>10.1</t>
  </si>
  <si>
    <t>MADEIRAMENTO COMPLETO EM MAÇARANDUBA APARELHADA PARA TELHADO</t>
  </si>
  <si>
    <t>10.2</t>
  </si>
  <si>
    <t>PERGOLADO EM MADEIRA CUMARU (ESTIMATIVA SEM DETALHAMENTO)</t>
  </si>
  <si>
    <t>10.3</t>
  </si>
  <si>
    <t>TELHAMENTO EM TELHA DE CONCRETO</t>
  </si>
  <si>
    <t>LIMPEZA E DIVERSOS</t>
  </si>
  <si>
    <t>11.1</t>
  </si>
  <si>
    <t>LIMPEZA DE PERMANENTE DE OBRA</t>
  </si>
  <si>
    <t>mês</t>
  </si>
  <si>
    <t>11.2</t>
  </si>
  <si>
    <t>LIMPEZA FINA DE OBRA</t>
  </si>
  <si>
    <t>11.3</t>
  </si>
  <si>
    <t>RETIRADA DE ENTULHO</t>
  </si>
  <si>
    <t>11.4</t>
  </si>
  <si>
    <t>PROTEÇÃO DE PISO COM SALVA PISO E LONA PRETA REFORÇADA</t>
  </si>
  <si>
    <t>11.5</t>
  </si>
  <si>
    <t>ALUGUEL DE ANDAIMES</t>
  </si>
  <si>
    <t>11.6</t>
  </si>
  <si>
    <t>ALUGUEL DE EQUIPAMENTOS</t>
  </si>
  <si>
    <t>11.7</t>
  </si>
  <si>
    <t>TRANSPORTE HORIZONTAL DE MATERIAIS</t>
  </si>
  <si>
    <t>11.8</t>
  </si>
  <si>
    <t>FRETES DIVERSOS</t>
  </si>
  <si>
    <t>11.9</t>
  </si>
  <si>
    <t>EPI's</t>
  </si>
  <si>
    <t>11.10</t>
  </si>
  <si>
    <t>IMPERMEABILIZAÇÃO EM BANHEIROS COM ARGAMASSA POLIMERICA</t>
  </si>
  <si>
    <t>11.11</t>
  </si>
  <si>
    <t>DESPESAS DIVERSAS</t>
  </si>
  <si>
    <t>INSTALAÇÕES - ESTIMATIVA SEM PROJETO</t>
  </si>
  <si>
    <t>12.1</t>
  </si>
  <si>
    <t>INSTALAÇÃO DE LUMINÁRIAS</t>
  </si>
  <si>
    <t>12.2</t>
  </si>
  <si>
    <t xml:space="preserve">INSTALAÇÕES ELÉTRICAS </t>
  </si>
  <si>
    <t>12.3</t>
  </si>
  <si>
    <t>INSTALAÇÕES HIDRAULICAS</t>
  </si>
  <si>
    <t>12.4</t>
  </si>
  <si>
    <t>INSTALAÇÕES PARA REDE DE GÁS</t>
  </si>
  <si>
    <t>12.5</t>
  </si>
  <si>
    <t>INSTALAÇÃO DE RALO OCULTO QUADRADO - ELLEVE</t>
  </si>
  <si>
    <t>12.6</t>
  </si>
  <si>
    <t>INSTALAÇÃO DE RALO LINEAR TIPO OCULTO - ELLEVE</t>
  </si>
  <si>
    <t>12.7</t>
  </si>
  <si>
    <t xml:space="preserve">FORNECIMENTO E INSTALAÇÃO DE SISTEMA DE AQUECIMENTO BOILER </t>
  </si>
  <si>
    <t>12.8</t>
  </si>
  <si>
    <t xml:space="preserve">APOIO CIVIL PARA INSTALAÇÕES DE AR CONDICIONADO COM TUBULAÇÃO FRIGORIGENA, SEM APARELHOS AR CONDICIONADO </t>
  </si>
  <si>
    <t>12.9</t>
  </si>
  <si>
    <t xml:space="preserve">TUBULAÇÃO SECA PARA INSTALAÇÃO DE SOM, REDE E CAMERAS </t>
  </si>
  <si>
    <t>12.10</t>
  </si>
  <si>
    <t>INSTALAÇÕES PARA AR CONDICIONADO (DRENOS)</t>
  </si>
  <si>
    <t>12.11</t>
  </si>
  <si>
    <t>RESERVATÓRIO ENTERRADO (FIBRA OU ALVENARIA ESTRUTURAL)</t>
  </si>
  <si>
    <t>12.12</t>
  </si>
  <si>
    <t>RESERVATÓRIO SUPERIOR</t>
  </si>
  <si>
    <t xml:space="preserve">MÃO DE OBRA DE APOIO </t>
  </si>
  <si>
    <t>13.1</t>
  </si>
  <si>
    <t>MÃO DE OBRA DE APOIO</t>
  </si>
  <si>
    <t>13.2</t>
  </si>
  <si>
    <t>CUSTOS COM ALIMENTAÇÃO</t>
  </si>
  <si>
    <t>13.3</t>
  </si>
  <si>
    <t>CUSTOS COM DESLOCAMENTO E TRANSPORTE</t>
  </si>
  <si>
    <t>PISCINA</t>
  </si>
  <si>
    <t>14.1</t>
  </si>
  <si>
    <t>ESCAVAÇÃO MANUAL DE VALA EM SOLO DE 1ª CATEGORIA, PROFUNDIDADE ENTRE 1,5 E 4,0 M (P)</t>
  </si>
  <si>
    <t>14.2</t>
  </si>
  <si>
    <t>CONCRETO MAGRO (P)</t>
  </si>
  <si>
    <t>14.3</t>
  </si>
  <si>
    <t>CONCRETO FCK = 30MPA (P)</t>
  </si>
  <si>
    <t>14.4</t>
  </si>
  <si>
    <t>ARMAÇÃO AÇO CA-50 (P)</t>
  </si>
  <si>
    <t>14.5</t>
  </si>
  <si>
    <t>APILOAMENTO DE FUNDO DE VALAS (P)</t>
  </si>
  <si>
    <t>14.6</t>
  </si>
  <si>
    <t>REATERRO MANUAL APILOADO (P)</t>
  </si>
  <si>
    <t>14.7</t>
  </si>
  <si>
    <t>FABRICAÇÃO, MONTAGEM E DESMONTAGEM DE FÔRMA (1 REAPROVEITAMENTO / 2 USOS) (P)</t>
  </si>
  <si>
    <t>14.8</t>
  </si>
  <si>
    <t>IMPERMEABILIZAÇÃO DE SUPERFÍCIE COM ARGAMASSA POLIMÉRICA / MEMBRANA ACRÍLICA / 4 DEMÃOS (P)</t>
  </si>
  <si>
    <t>14.9</t>
  </si>
  <si>
    <t>PROTEÇÃO MECÂNICA PARA IMPERMEABILIZAÇÃO (P)</t>
  </si>
  <si>
    <t>14.10</t>
  </si>
  <si>
    <t>REVESTIMENTO PARA PISCINA (P)</t>
  </si>
  <si>
    <t>14.11</t>
  </si>
  <si>
    <t>CASA DE BOMBA (P)</t>
  </si>
  <si>
    <t>14.12</t>
  </si>
  <si>
    <t>ESTRUTURA PARA CHUVEIRÃO (P)</t>
  </si>
  <si>
    <t>14.13</t>
  </si>
  <si>
    <t>TAMPA DE FIBRA PARA CASA DE BOMBA (P)</t>
  </si>
  <si>
    <t>14.14</t>
  </si>
  <si>
    <t>EQUIPAMENTOS PARA PISCINA (P)</t>
  </si>
  <si>
    <t xml:space="preserve">SOLICITAÇÃO </t>
  </si>
  <si>
    <t xml:space="preserve">VALOR </t>
  </si>
  <si>
    <t>MÊS</t>
  </si>
  <si>
    <t>TOTAL</t>
  </si>
  <si>
    <t>NÃO MEXER AQUI</t>
  </si>
  <si>
    <t>FEVEREIRO</t>
  </si>
  <si>
    <t>GERAL ORÇADO MAO DE OBRA</t>
  </si>
  <si>
    <t>GERAL REALIZADO MAO DE OBRA</t>
  </si>
  <si>
    <t>GERAL ORÇADO MATERIAIS</t>
  </si>
  <si>
    <t>GERAL REALIZADO MATERIAIS</t>
  </si>
  <si>
    <t>1 ORÇADO MAT</t>
  </si>
  <si>
    <t>1 ORÇADO MAO</t>
  </si>
  <si>
    <t>1. ORÇADO TOTAL</t>
  </si>
  <si>
    <t>1 REALIZADO MAT</t>
  </si>
  <si>
    <t>1 REALIADO MAO</t>
  </si>
  <si>
    <t>2 ORÇADO MAT</t>
  </si>
  <si>
    <t>2 ORÇADO MAO</t>
  </si>
  <si>
    <t>2 REALIZADO MAT</t>
  </si>
  <si>
    <t>2 REALIZADO MAO</t>
  </si>
  <si>
    <t>5 ORÇADO MAT</t>
  </si>
  <si>
    <t>5 ORÇADO MAO</t>
  </si>
  <si>
    <t>5 REALIZADO MAT</t>
  </si>
  <si>
    <t>5 REALIZADO MAO</t>
  </si>
  <si>
    <t>4 ORÇADO MAT</t>
  </si>
  <si>
    <t>4 ORÇADO MAO</t>
  </si>
  <si>
    <t>4 REALIZADO MAT</t>
  </si>
  <si>
    <t>4 REALIZADO MAO</t>
  </si>
  <si>
    <t>6 ORÇADO MAT</t>
  </si>
  <si>
    <t>6 ORÇADO MAO</t>
  </si>
  <si>
    <t>6 REALIZADO MAT</t>
  </si>
  <si>
    <t>6 REALIZADO MAO</t>
  </si>
  <si>
    <t>7.1 ORÇADO MAT</t>
  </si>
  <si>
    <t>7.1 ORÇADO MAO</t>
  </si>
  <si>
    <t>7.1 REALIZADO MAT</t>
  </si>
  <si>
    <t>7.1 REALIZADO MAO</t>
  </si>
  <si>
    <t>7.2 ORÇADO MAT</t>
  </si>
  <si>
    <t>7.2 ORÇADO MAO</t>
  </si>
  <si>
    <t>7.2 REALIZADO MAT</t>
  </si>
  <si>
    <t>7.2 REALIZADO MAO</t>
  </si>
  <si>
    <t>8 ORÇADO MAT</t>
  </si>
  <si>
    <t>8 ORÇADO MAO</t>
  </si>
  <si>
    <t>8 REALIZADO MAT</t>
  </si>
  <si>
    <t>8 REALIZADO MAO</t>
  </si>
  <si>
    <t>9 ORÇADO MAT</t>
  </si>
  <si>
    <t>9 ORÇADO MAO</t>
  </si>
  <si>
    <t>9 REALIZADO MAT</t>
  </si>
  <si>
    <t>9 REALIZADO MAO</t>
  </si>
  <si>
    <t>10 ORÇADO MAT</t>
  </si>
  <si>
    <t>10 ORÇADO MATO</t>
  </si>
  <si>
    <t>10 REALIZADO MAT</t>
  </si>
  <si>
    <t>10 REALIZADO MAO</t>
  </si>
  <si>
    <t>11 ORÇADO MAT</t>
  </si>
  <si>
    <t>11 ORÇADO MATO</t>
  </si>
  <si>
    <t>11 REALIZADO MAT</t>
  </si>
  <si>
    <t>11 REALIZADO MAO</t>
  </si>
  <si>
    <t>12 ORÇADO MAT</t>
  </si>
  <si>
    <t>12 ORÇADO MATO</t>
  </si>
  <si>
    <t>12 REALIZADO MAT</t>
  </si>
  <si>
    <t>12 REALIZADO MAO</t>
  </si>
  <si>
    <t>13 ORÇADO MAT</t>
  </si>
  <si>
    <t>13 ORÇADO MATO</t>
  </si>
  <si>
    <t>13 REALIZADO MAT</t>
  </si>
  <si>
    <t>13 REALIZADO MAO</t>
  </si>
  <si>
    <t>14 ORÇADO MAT</t>
  </si>
  <si>
    <t>14 ORÇADO MATO</t>
  </si>
  <si>
    <t>14 REALIZADO MAT</t>
  </si>
  <si>
    <t>14 REALIZADO MAO</t>
  </si>
  <si>
    <t>IGNORAR1</t>
  </si>
  <si>
    <t>IGNORAR2</t>
  </si>
  <si>
    <t>SOMA SOLICITAÇOES</t>
  </si>
  <si>
    <t>VALOR</t>
  </si>
  <si>
    <t>SOLICITAÇÃO</t>
  </si>
  <si>
    <t>MAO DE OBRA</t>
  </si>
  <si>
    <t>MATERIAL</t>
  </si>
  <si>
    <t>BARRACAO DE OBRA ALOJAMENTO/ESCRITORIO.</t>
  </si>
  <si>
    <t>LIMPEZA MANUAL DE VEGETAÇÃO EM TERRENO.</t>
  </si>
  <si>
    <t xml:space="preserve">MOVIMENTAÇÃO DE TERRA </t>
  </si>
  <si>
    <t>TAPUME COM TELHA METÁLICA.</t>
  </si>
  <si>
    <t>FABRICAÇÃO, MONTAGEM E DESMONTAGEM DE FÔRMA (1 REAPROVEITAMENTO / 2 USOS)</t>
  </si>
  <si>
    <t xml:space="preserve">CONTENÇÃO EM BLOCO DE CONCRETO </t>
  </si>
  <si>
    <t xml:space="preserve">IMPERBEABILIZAÇÃO DE BALDRAMES E CONTENÇÕES </t>
  </si>
  <si>
    <t>MONTAGEM E DESMONTAGEM DE FÔRMA DE PILARES EM PLASTIFICADO 12MM (1 REAPROVEITAMENTO / 2 USOS).</t>
  </si>
  <si>
    <t>LAJE PRE-MOLD COM BLOCO DE EPS H=21CM, COM CAPEAMENTO H=5 CM.</t>
  </si>
  <si>
    <t xml:space="preserve">ESCORAMENTO DE LAJE PRE-MOLDADA E VIGAS </t>
  </si>
  <si>
    <t xml:space="preserve">ESTRUTURA PARA ESCADA EM CONCRETO </t>
  </si>
  <si>
    <t>ALVENARIA DE VEDAÇÃO DE BLOCOS CERÂMICOS FURADOS NA HORIZONTAL DE 9X19X24 CM (ESPESSURA 15 CM) COM ARGAMASSA DE CIMENTO E AREIA.</t>
  </si>
  <si>
    <t xml:space="preserve">ARESTAMENTOS DIVERSOS </t>
  </si>
  <si>
    <t xml:space="preserve">ESQUADRIAS E PORTAS EM MADEIRA </t>
  </si>
  <si>
    <t xml:space="preserve">PORTA DE ENTRADA EM MADEIRA (200x270cm) - CARPINTARIA REIS </t>
  </si>
  <si>
    <t xml:space="preserve">ESQUADRIAS E VIDROS EM ALUMINIO (ESTIMATIVA SEM ORÇAMENTO </t>
  </si>
  <si>
    <t>GUARDA CORPO EM MADEIRA E VIDRO (ESTIMATIVA SEM ORÇAMENTO).</t>
  </si>
  <si>
    <t xml:space="preserve">FACHADA EM MADEIRA (RIPADOS, BRISES, ETC) - CARPINTARIA REIS </t>
  </si>
  <si>
    <t>MASSA ÚNICA EM PAREDES.</t>
  </si>
  <si>
    <t xml:space="preserve">INSTALAÇÃO DE REVESTIMENTO EM PORCELANATO LIMESTONE CINZA 90X90CM </t>
  </si>
  <si>
    <t xml:space="preserve">REJUNTAMENTO EM PORCELANATO </t>
  </si>
  <si>
    <t>FORRO EM DRYWALL, PARA AMBIENTES RESIDENCIAIS, INCLUSIVE ESTRUTURA DE FIXAÇÃO.</t>
  </si>
  <si>
    <t xml:space="preserve">FORRO PARA BEIRAL E TELHADO E INTERNO EM RIPADO CUMARU </t>
  </si>
  <si>
    <t xml:space="preserve">EXECUÇÃO DE ALÇAPÃO DE GESSO ACARTONADO </t>
  </si>
  <si>
    <t xml:space="preserve">TABICA METÁLICA 3X3 CM </t>
  </si>
  <si>
    <t>CONTRAPISO EM ARGAMASSA CIMENTO E AREIA, ESPESSURA 3 CM.</t>
  </si>
  <si>
    <t>INSTALAÇÃO DE PISO FULGET 100% PERMEAVEL</t>
  </si>
  <si>
    <t xml:space="preserve">INSTALAÇÃO DE PISO EM PORCELANATO LIMESTONE CINZA 90X90CM </t>
  </si>
  <si>
    <t>COLOCAÇÃO DE RODAPÉ EM TABICA METÁLICA</t>
  </si>
  <si>
    <t xml:space="preserve">INSTALAÇÃO DE DECK EM MADEIRA </t>
  </si>
  <si>
    <t xml:space="preserve">PISO INTERTRAVADO </t>
  </si>
  <si>
    <t>COLOCAÇÃO DE FILETE PARA BOX EM MÁRMORE.</t>
  </si>
  <si>
    <t>COLOCAÇÃO DE SOLEIRA EM MÁRMORE, LARGURA 15 CM.</t>
  </si>
  <si>
    <t>ASSENTAMENTO DE BANCADA.</t>
  </si>
  <si>
    <t xml:space="preserve">FORNECIMENTO DE MARMORES </t>
  </si>
  <si>
    <t>COLOCAÇÃO DE NICHO EM MARMÓRE, COM CORTE E ARESTAMENTO DE VÃO.</t>
  </si>
  <si>
    <t xml:space="preserve">LOUÇAS E METAIS (MATERIAL) </t>
  </si>
  <si>
    <t xml:space="preserve">INSTALAÇÃO DE ACESSORIOS </t>
  </si>
  <si>
    <t>APLICAÇÃO MANUAL DE TEXTURA EM PAREDES EXTERNAS SOBRE REBOCO, DUAS DEMÃOS.</t>
  </si>
  <si>
    <t>APLICAÇÃO MANUAL DE PINTURA COM TINTA LÁTEX ACRÍLICA COM EMASSAMENTO PVA EM TETO, DUAS DEMÃOS.</t>
  </si>
  <si>
    <t>APLICAÇÃO MANUAL DE PINTURA COM TINTA LÁTEX E MASSA ACRÍLICA EM PAREDES INTERNAS, DUAS DEMÃOS.</t>
  </si>
  <si>
    <t>MADEIRAMENTO COMPLETO EM MAÇARANDUBA APARELHADA PARA TELHADO, TELHA DE CONCRETO PLANA COR OCRE GRAFITADO TÉGULA</t>
  </si>
  <si>
    <t xml:space="preserve">PERGOLADO EM MADEIRA NATURAL CUMARU (ESTIMATIVA SEM DETALHAMENTO) </t>
  </si>
  <si>
    <t>TELHAMENTO EM TELHA DE CONCRETO PLANA COR OCRE</t>
  </si>
  <si>
    <t>PROTEÇÃO DE PISO COM SALVA PISO E LONA PRETA REFORÇADA.</t>
  </si>
  <si>
    <t xml:space="preserve">FRETES DIVERSOS </t>
  </si>
  <si>
    <t xml:space="preserve">IMPERMEABILIZAÇÃO EM BANHEIROS COM ARGAMASSA POLIMERICA </t>
  </si>
  <si>
    <t>INSTALAÇÃO DE LUMINÁRIAS. - SEM LUMINÁRIAS</t>
  </si>
  <si>
    <t>RESERVATÓRIO ENTERRADO (FIBRA OU ALVENARIA ESTRUTURAL) - 3000L IRRIGAÇÃO E 10000L AGUA POTAVEL</t>
  </si>
  <si>
    <t>RESERVATÓRIO SUPERIOR 3000L</t>
  </si>
  <si>
    <t>REVESTIMENTO PARA PISCINA (P) - PASTILHA SIMILAR HIJAU LISO</t>
  </si>
  <si>
    <t xml:space="preserve">EQUIPAMENTOS PARA PISCINA (P) - SEM ILUMINAÇÃO </t>
  </si>
  <si>
    <t>11.12</t>
  </si>
  <si>
    <t>POÇO ARTESIANO</t>
  </si>
  <si>
    <t>11.13</t>
  </si>
  <si>
    <t>SISTEMA DE EXAUSTÃO PARA CHURASQUEIRA</t>
  </si>
  <si>
    <t>OBRA FICTÍCIA</t>
  </si>
  <si>
    <t>FICTÍCIA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</si>
</sst>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-[$R$-416]\ * #,##0.00_-;\-[$R$-416]\ * #,##0.00_-;_-[$R$-416]\ * &quot;-&quot;??_-;_-@_-"/>
    <numFmt numFmtId="166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rgb="FF4F4F4F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4F4F4F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44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0" fillId="0" borderId="0"/>
    <xf numFmtId="44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4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left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1" fontId="0" fillId="5" borderId="6" xfId="0" applyNumberFormat="1" applyFill="1" applyBorder="1" applyAlignment="1" applyProtection="1">
      <alignment horizontal="center" vertical="center"/>
      <protection locked="0"/>
    </xf>
    <xf numFmtId="164" fontId="0" fillId="5" borderId="6" xfId="1" applyFont="1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0" fillId="4" borderId="12" xfId="0" applyFill="1" applyBorder="1" applyAlignment="1" applyProtection="1">
      <alignment horizontal="center" vertical="center"/>
      <protection locked="0"/>
    </xf>
    <xf numFmtId="1" fontId="0" fillId="4" borderId="15" xfId="0" applyNumberFormat="1" applyFill="1" applyBorder="1" applyAlignment="1" applyProtection="1">
      <alignment horizontal="center" vertical="center"/>
      <protection locked="0"/>
    </xf>
    <xf numFmtId="164" fontId="0" fillId="4" borderId="15" xfId="1" applyFont="1" applyFill="1" applyBorder="1" applyAlignment="1" applyProtection="1">
      <alignment horizontal="center" vertical="center"/>
      <protection locked="0"/>
    </xf>
    <xf numFmtId="0" fontId="0" fillId="4" borderId="15" xfId="0" applyFill="1" applyBorder="1" applyAlignment="1" applyProtection="1">
      <alignment vertical="center"/>
      <protection locked="0"/>
    </xf>
    <xf numFmtId="9" fontId="0" fillId="4" borderId="16" xfId="2" applyFont="1" applyFill="1" applyBorder="1" applyAlignment="1" applyProtection="1">
      <alignment horizontal="center" vertical="center"/>
      <protection locked="0"/>
    </xf>
    <xf numFmtId="0" fontId="0" fillId="7" borderId="11" xfId="0" applyFill="1" applyBorder="1" applyAlignment="1" applyProtection="1">
      <alignment horizontal="center" vertical="center"/>
      <protection locked="0"/>
    </xf>
    <xf numFmtId="164" fontId="0" fillId="7" borderId="11" xfId="1" applyFont="1" applyFill="1" applyBorder="1" applyAlignment="1" applyProtection="1">
      <alignment horizontal="center" vertical="center"/>
      <protection locked="0"/>
    </xf>
    <xf numFmtId="0" fontId="0" fillId="7" borderId="10" xfId="0" applyFill="1" applyBorder="1" applyAlignment="1" applyProtection="1">
      <alignment horizontal="center" vertical="center"/>
      <protection locked="0"/>
    </xf>
    <xf numFmtId="164" fontId="0" fillId="7" borderId="10" xfId="1" applyFont="1" applyFill="1" applyBorder="1" applyAlignment="1" applyProtection="1">
      <alignment horizontal="center" vertical="center"/>
      <protection locked="0"/>
    </xf>
    <xf numFmtId="164" fontId="0" fillId="6" borderId="11" xfId="1" applyFont="1" applyFill="1" applyBorder="1" applyAlignment="1" applyProtection="1">
      <alignment horizontal="center" vertical="center"/>
    </xf>
    <xf numFmtId="164" fontId="0" fillId="6" borderId="10" xfId="1" applyFont="1" applyFill="1" applyBorder="1" applyAlignment="1" applyProtection="1">
      <alignment horizontal="center" vertical="center"/>
    </xf>
    <xf numFmtId="9" fontId="0" fillId="6" borderId="11" xfId="2" applyFont="1" applyFill="1" applyBorder="1" applyAlignment="1" applyProtection="1">
      <alignment horizontal="center" vertical="center"/>
    </xf>
    <xf numFmtId="9" fontId="0" fillId="6" borderId="10" xfId="2" applyFont="1" applyFill="1" applyBorder="1" applyAlignment="1" applyProtection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44" fontId="0" fillId="0" borderId="0" xfId="0" applyNumberFormat="1" applyAlignment="1">
      <alignment vertical="center"/>
    </xf>
    <xf numFmtId="44" fontId="0" fillId="5" borderId="6" xfId="0" applyNumberFormat="1" applyFill="1" applyBorder="1" applyAlignment="1" applyProtection="1">
      <alignment horizontal="center" vertical="center"/>
      <protection locked="0"/>
    </xf>
    <xf numFmtId="0" fontId="2" fillId="0" borderId="21" xfId="0" applyFont="1" applyBorder="1" applyAlignment="1">
      <alignment horizontal="center" vertical="center"/>
    </xf>
    <xf numFmtId="0" fontId="0" fillId="9" borderId="0" xfId="0" applyFill="1"/>
    <xf numFmtId="164" fontId="0" fillId="0" borderId="0" xfId="0" applyNumberFormat="1" applyAlignment="1">
      <alignment horizontal="left" vertical="center"/>
    </xf>
    <xf numFmtId="44" fontId="0" fillId="0" borderId="0" xfId="0" applyNumberFormat="1" applyAlignment="1">
      <alignment horizontal="left"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0" fillId="0" borderId="11" xfId="0" applyBorder="1" applyAlignment="1" applyProtection="1">
      <alignment horizontal="center" vertical="center"/>
      <protection locked="0"/>
    </xf>
    <xf numFmtId="0" fontId="0" fillId="8" borderId="11" xfId="0" applyFill="1" applyBorder="1" applyAlignment="1" applyProtection="1">
      <alignment horizontal="left" vertical="center" wrapText="1"/>
      <protection locked="0"/>
    </xf>
    <xf numFmtId="0" fontId="0" fillId="8" borderId="10" xfId="0" applyFill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center" vertical="center"/>
    </xf>
    <xf numFmtId="164" fontId="0" fillId="6" borderId="11" xfId="0" applyNumberFormat="1" applyFill="1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2" fontId="0" fillId="7" borderId="10" xfId="0" applyNumberForma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165" fontId="0" fillId="7" borderId="10" xfId="1" applyNumberFormat="1" applyFont="1" applyFill="1" applyBorder="1" applyAlignment="1" applyProtection="1">
      <alignment horizontal="center" vertical="center"/>
      <protection locked="0"/>
    </xf>
    <xf numFmtId="44" fontId="0" fillId="0" borderId="0" xfId="0" applyNumberFormat="1"/>
    <xf numFmtId="164" fontId="0" fillId="4" borderId="13" xfId="1" applyFont="1" applyFill="1" applyBorder="1" applyAlignment="1" applyProtection="1">
      <alignment vertical="center"/>
      <protection locked="0"/>
    </xf>
    <xf numFmtId="164" fontId="0" fillId="4" borderId="14" xfId="1" applyFont="1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164" fontId="0" fillId="9" borderId="15" xfId="1" applyFont="1" applyFill="1" applyBorder="1" applyAlignment="1" applyProtection="1">
      <alignment horizontal="center" vertical="center"/>
      <protection locked="0"/>
    </xf>
    <xf numFmtId="164" fontId="0" fillId="9" borderId="13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164" fontId="0" fillId="3" borderId="15" xfId="1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164" fontId="0" fillId="3" borderId="13" xfId="1" applyFont="1" applyFill="1" applyBorder="1" applyAlignment="1" applyProtection="1">
      <alignment horizontal="center" vertical="center"/>
      <protection locked="0"/>
    </xf>
    <xf numFmtId="164" fontId="0" fillId="3" borderId="0" xfId="0" applyNumberFormat="1" applyFill="1"/>
    <xf numFmtId="0" fontId="0" fillId="10" borderId="1" xfId="0" applyFill="1" applyBorder="1" applyAlignment="1" applyProtection="1">
      <alignment horizontal="center" vertical="center"/>
      <protection locked="0"/>
    </xf>
    <xf numFmtId="164" fontId="0" fillId="10" borderId="15" xfId="1" applyFont="1" applyFill="1" applyBorder="1" applyAlignment="1" applyProtection="1">
      <alignment horizontal="center" vertical="center"/>
      <protection locked="0"/>
    </xf>
    <xf numFmtId="0" fontId="0" fillId="10" borderId="0" xfId="0" applyFill="1"/>
    <xf numFmtId="164" fontId="0" fillId="10" borderId="13" xfId="1" applyFont="1" applyFill="1" applyBorder="1" applyAlignment="1" applyProtection="1">
      <alignment horizontal="center" vertical="center"/>
      <protection locked="0"/>
    </xf>
    <xf numFmtId="16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1" xfId="0" applyFill="1" applyBorder="1" applyAlignment="1" applyProtection="1">
      <alignment horizontal="center" vertical="center"/>
      <protection locked="0"/>
    </xf>
    <xf numFmtId="164" fontId="0" fillId="11" borderId="15" xfId="1" applyFont="1" applyFill="1" applyBorder="1" applyAlignment="1" applyProtection="1">
      <alignment horizontal="center" vertical="center"/>
      <protection locked="0"/>
    </xf>
    <xf numFmtId="0" fontId="0" fillId="11" borderId="0" xfId="0" applyFill="1"/>
    <xf numFmtId="164" fontId="0" fillId="11" borderId="13" xfId="1" applyFont="1" applyFill="1" applyBorder="1" applyAlignment="1" applyProtection="1">
      <alignment horizontal="center" vertical="center"/>
      <protection locked="0"/>
    </xf>
    <xf numFmtId="164" fontId="0" fillId="11" borderId="0" xfId="0" applyNumberFormat="1" applyFill="1"/>
    <xf numFmtId="164" fontId="0" fillId="12" borderId="13" xfId="1" applyFont="1" applyFill="1" applyBorder="1" applyAlignment="1" applyProtection="1">
      <alignment horizontal="center" vertical="center"/>
      <protection locked="0"/>
    </xf>
    <xf numFmtId="164" fontId="0" fillId="12" borderId="0" xfId="1" applyFont="1" applyFill="1" applyBorder="1" applyAlignment="1" applyProtection="1">
      <alignment horizontal="center" vertical="center"/>
      <protection locked="0"/>
    </xf>
    <xf numFmtId="0" fontId="0" fillId="12" borderId="0" xfId="0" applyFill="1"/>
    <xf numFmtId="164" fontId="0" fillId="0" borderId="0" xfId="0" applyNumberFormat="1" applyAlignment="1">
      <alignment vertical="center"/>
    </xf>
    <xf numFmtId="44" fontId="8" fillId="0" borderId="21" xfId="0" applyNumberFormat="1" applyFont="1" applyBorder="1"/>
    <xf numFmtId="44" fontId="0" fillId="0" borderId="21" xfId="1" applyNumberFormat="1" applyFont="1" applyFill="1" applyBorder="1" applyAlignment="1">
      <alignment horizontal="left" vertical="center"/>
    </xf>
    <xf numFmtId="44" fontId="0" fillId="0" borderId="21" xfId="1" applyNumberFormat="1" applyFont="1" applyBorder="1"/>
    <xf numFmtId="44" fontId="2" fillId="0" borderId="21" xfId="0" applyNumberFormat="1" applyFont="1" applyBorder="1" applyAlignment="1">
      <alignment horizontal="left" vertical="center"/>
    </xf>
    <xf numFmtId="44" fontId="8" fillId="0" borderId="22" xfId="0" applyNumberFormat="1" applyFont="1" applyBorder="1"/>
    <xf numFmtId="44" fontId="8" fillId="0" borderId="23" xfId="0" applyNumberFormat="1" applyFont="1" applyBorder="1"/>
    <xf numFmtId="44" fontId="11" fillId="0" borderId="21" xfId="0" applyNumberFormat="1" applyFont="1" applyBorder="1"/>
    <xf numFmtId="0" fontId="0" fillId="5" borderId="6" xfId="0" applyFill="1" applyBorder="1" applyAlignment="1" applyProtection="1">
      <alignment horizontal="center" vertical="center"/>
      <protection locked="0"/>
    </xf>
    <xf numFmtId="44" fontId="0" fillId="0" borderId="21" xfId="0" applyNumberFormat="1" applyBorder="1"/>
    <xf numFmtId="0" fontId="0" fillId="9" borderId="0" xfId="0" applyFill="1" applyAlignment="1">
      <alignment vertical="center"/>
    </xf>
    <xf numFmtId="44" fontId="8" fillId="0" borderId="0" xfId="0" applyNumberFormat="1" applyFont="1"/>
    <xf numFmtId="44" fontId="11" fillId="0" borderId="0" xfId="0" applyNumberFormat="1" applyFont="1"/>
    <xf numFmtId="166" fontId="0" fillId="0" borderId="21" xfId="0" applyNumberForma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0" fillId="4" borderId="13" xfId="1" applyFont="1" applyFill="1" applyBorder="1" applyAlignment="1" applyProtection="1">
      <alignment horizontal="center" vertical="center"/>
      <protection locked="0"/>
    </xf>
    <xf numFmtId="164" fontId="0" fillId="4" borderId="14" xfId="1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5" borderId="6" xfId="0" applyFill="1" applyBorder="1" applyAlignment="1" applyProtection="1">
      <alignment horizontal="center" vertical="center"/>
      <protection locked="0"/>
    </xf>
  </cellXfs>
  <cellStyles count="21">
    <cellStyle name="Moeda" xfId="1" builtinId="4"/>
    <cellStyle name="Moeda 2" xfId="13" xr:uid="{03413ED1-E8DD-4CBF-9FD0-26FA83CF2007}"/>
    <cellStyle name="Moeda 3" xfId="4" xr:uid="{4978C15A-9FB1-4A10-95D2-04A21B9DFA03}"/>
    <cellStyle name="Normal" xfId="0" builtinId="0"/>
    <cellStyle name="Normal 2" xfId="5" xr:uid="{8FC07DDF-B431-4E5E-964B-1E71D57A3AFC}"/>
    <cellStyle name="Normal 2 2" xfId="14" xr:uid="{EF6864D3-990B-4B94-B301-87E02F42C247}"/>
    <cellStyle name="Normal 3" xfId="9" xr:uid="{7DF96AEC-D444-4D01-AAC1-58C288C00DFC}"/>
    <cellStyle name="Normal 3 2" xfId="18" xr:uid="{0D0CD6CE-38C3-4EF3-9012-3F1D6AE160FB}"/>
    <cellStyle name="Normal 4" xfId="10" xr:uid="{1ED74889-F59B-4FDE-9018-7D3BE2CB6846}"/>
    <cellStyle name="Normal 4 2" xfId="19" xr:uid="{3D6B5B30-556F-4190-8DC1-867B0DCE103A}"/>
    <cellStyle name="Normal 5" xfId="11" xr:uid="{9E15C24C-A506-4EB6-928F-10B26DDFC7F0}"/>
    <cellStyle name="Normal 5 2" xfId="20" xr:uid="{9F321871-E5B7-4FC4-A3A8-F6B1F15910C6}"/>
    <cellStyle name="Normal 6" xfId="12" xr:uid="{D92E20C1-3C62-477A-89FB-57E3E9B7BA08}"/>
    <cellStyle name="Normal 7" xfId="3" xr:uid="{5E428BBC-6158-4A1C-833F-589F63BED6E1}"/>
    <cellStyle name="Porcentagem" xfId="2" builtinId="5"/>
    <cellStyle name="Separador de milhares 2 2" xfId="6" xr:uid="{568778FF-CC37-4FF6-A77E-7385C1060130}"/>
    <cellStyle name="Separador de milhares 2 2 2" xfId="15" xr:uid="{C77C6982-5889-4934-A58F-8C4680B37184}"/>
    <cellStyle name="Separador de milhares 4" xfId="7" xr:uid="{9E84C902-4C4D-4914-8EA3-A299F41DACF2}"/>
    <cellStyle name="Separador de milhares 4 2" xfId="16" xr:uid="{1B3CA195-6036-4A33-BB62-4F5125A36B62}"/>
    <cellStyle name="Separador de milhares 5 3" xfId="8" xr:uid="{30D55AAA-6E82-403C-A974-20E3F6CBC3E6}"/>
    <cellStyle name="Separador de milhares 5 3 2" xfId="17" xr:uid="{4D785B8E-0000-44B8-934C-76CCEDF1C44A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77"/>
  <sheetViews>
    <sheetView showGridLines="0" tabSelected="1" view="pageBreakPreview" zoomScale="90" zoomScaleNormal="55" zoomScaleSheetLayoutView="90" workbookViewId="0">
      <pane xSplit="3" topLeftCell="L1" activePane="topRight" state="frozen"/>
      <selection pane="topRight" activeCell="C9" sqref="C9:D9"/>
    </sheetView>
  </sheetViews>
  <sheetFormatPr defaultColWidth="9.140625" defaultRowHeight="15" outlineLevelRow="1" x14ac:dyDescent="0.25"/>
  <cols>
    <col min="1" max="1" width="2.28515625" style="9" customWidth="1"/>
    <col min="2" max="2" width="6.85546875" style="2" customWidth="1"/>
    <col min="3" max="3" width="48.42578125" style="1" customWidth="1"/>
    <col min="4" max="4" width="37.5703125" style="3" customWidth="1"/>
    <col min="5" max="5" width="7.140625" style="3" customWidth="1"/>
    <col min="6" max="6" width="16.85546875" style="3" bestFit="1" customWidth="1"/>
    <col min="7" max="7" width="18" style="3" customWidth="1"/>
    <col min="8" max="8" width="22.28515625" style="3" customWidth="1"/>
    <col min="9" max="9" width="18" style="3" customWidth="1"/>
    <col min="10" max="10" width="17.28515625" style="3" bestFit="1" customWidth="1"/>
    <col min="11" max="11" width="16.140625" style="3" customWidth="1"/>
    <col min="12" max="12" width="19.85546875" style="3" bestFit="1" customWidth="1"/>
    <col min="13" max="13" width="17" style="3" customWidth="1"/>
    <col min="14" max="14" width="16.140625" style="3" customWidth="1"/>
    <col min="15" max="15" width="24.7109375" style="3" bestFit="1" customWidth="1"/>
    <col min="16" max="16" width="23.28515625" style="3" customWidth="1"/>
    <col min="17" max="17" width="19.140625" style="3" bestFit="1" customWidth="1"/>
    <col min="18" max="18" width="16.140625" style="3" customWidth="1"/>
  </cols>
  <sheetData>
    <row r="1" spans="1:19" ht="5.0999999999999996" customHeight="1" thickBot="1" x14ac:dyDescent="0.3"/>
    <row r="2" spans="1:19" ht="19.5" thickBot="1" x14ac:dyDescent="0.3">
      <c r="B2" s="4"/>
      <c r="C2" s="89" t="s">
        <v>0</v>
      </c>
      <c r="D2" s="90"/>
      <c r="E2" s="95" t="s">
        <v>1</v>
      </c>
      <c r="F2" s="96"/>
      <c r="G2" s="97"/>
      <c r="H2" s="96"/>
      <c r="I2" s="44" t="s">
        <v>2</v>
      </c>
      <c r="J2" s="40" t="s">
        <v>3</v>
      </c>
      <c r="L2" s="3" t="s">
        <v>405</v>
      </c>
    </row>
    <row r="3" spans="1:19" ht="15.75" thickBot="1" x14ac:dyDescent="0.3">
      <c r="B3" s="5"/>
      <c r="C3" s="91"/>
      <c r="D3" s="92"/>
      <c r="E3" s="95" t="s">
        <v>406</v>
      </c>
      <c r="F3" s="96"/>
      <c r="G3" s="6" t="s">
        <v>4</v>
      </c>
      <c r="H3" s="7"/>
      <c r="I3" s="7">
        <v>28</v>
      </c>
      <c r="L3" s="39"/>
    </row>
    <row r="4" spans="1:19" x14ac:dyDescent="0.25">
      <c r="B4" s="5"/>
      <c r="C4" s="91"/>
      <c r="D4" s="92"/>
    </row>
    <row r="5" spans="1:19" ht="15.75" thickBot="1" x14ac:dyDescent="0.3">
      <c r="B5" s="8"/>
      <c r="C5" s="93"/>
      <c r="D5" s="94"/>
    </row>
    <row r="6" spans="1:19" ht="15.75" thickBot="1" x14ac:dyDescent="0.3">
      <c r="F6" s="98" t="s">
        <v>5</v>
      </c>
      <c r="G6" s="99"/>
      <c r="I6" s="102" t="s">
        <v>6</v>
      </c>
      <c r="J6" s="103"/>
      <c r="K6" s="104"/>
      <c r="L6" s="102" t="s">
        <v>7</v>
      </c>
      <c r="M6" s="103"/>
      <c r="N6" s="104"/>
    </row>
    <row r="7" spans="1:19" ht="15.75" thickBot="1" x14ac:dyDescent="0.3">
      <c r="B7" s="10" t="s">
        <v>8</v>
      </c>
      <c r="C7" s="11" t="s">
        <v>9</v>
      </c>
      <c r="D7" s="12" t="s">
        <v>10</v>
      </c>
      <c r="E7" s="12" t="s">
        <v>11</v>
      </c>
      <c r="F7" s="10" t="s">
        <v>12</v>
      </c>
      <c r="G7" s="13" t="s">
        <v>13</v>
      </c>
      <c r="H7" s="13" t="s">
        <v>14</v>
      </c>
      <c r="I7" s="13" t="s">
        <v>15</v>
      </c>
      <c r="J7" s="13" t="s">
        <v>16</v>
      </c>
      <c r="K7" s="13" t="s">
        <v>17</v>
      </c>
      <c r="L7" s="13" t="s">
        <v>15</v>
      </c>
      <c r="M7" s="13"/>
      <c r="N7" s="13" t="s">
        <v>17</v>
      </c>
      <c r="O7" s="13" t="s">
        <v>18</v>
      </c>
      <c r="P7" s="13" t="s">
        <v>19</v>
      </c>
      <c r="Q7" s="13" t="s">
        <v>20</v>
      </c>
      <c r="R7" s="13" t="s">
        <v>21</v>
      </c>
    </row>
    <row r="8" spans="1:19" ht="15.75" thickBot="1" x14ac:dyDescent="0.3">
      <c r="B8" s="105" t="s">
        <v>18</v>
      </c>
      <c r="C8" s="106"/>
      <c r="D8" s="106"/>
      <c r="E8" s="14">
        <f>E9+E19+E34+E41+E52+E59+E65+E74+E77+E81+E85+E90+E94+E108+E121</f>
        <v>27259.585976190472</v>
      </c>
      <c r="F8" s="15">
        <f>F9+F19+F34+F41+F52+F59+F65+F74+F77+F81+F85+F90+F94+F108+F121</f>
        <v>15926.18</v>
      </c>
      <c r="G8" s="15">
        <f>G9+G19+G34+G41+G52+G59+G65+G74+G77+G81+G85+G90+G94+G108+G121</f>
        <v>11657.47</v>
      </c>
      <c r="H8" s="15">
        <f>H9+H19+H34+H41+H52+H59+H65+H74+H77+H81+H85+H90+H94+H108+H121</f>
        <v>579375.71759999986</v>
      </c>
      <c r="I8" s="15">
        <f>I9+I19+I34+I41+I52+I59+I65+I74+I77+I81+I85+I90+I94+I108+I121+I125</f>
        <v>1125756.3305700002</v>
      </c>
      <c r="J8" s="15"/>
      <c r="K8" s="83"/>
      <c r="L8" s="15">
        <f>L9+L19+L34+L41+L52+L59+L65+L74+L77+L81+L85+L90+L94+L108+L121+L125</f>
        <v>1090023.3306800001</v>
      </c>
      <c r="M8" s="15"/>
      <c r="N8" s="83"/>
      <c r="O8" s="34">
        <f>L8+I8</f>
        <v>2215779.6612500004</v>
      </c>
      <c r="P8" s="15"/>
      <c r="Q8" s="15">
        <f>Q9+Q19+Q34+Q41+Q52+Q59+Q65+Q74+Q77+Q81+Q85+Q90+Q94+Q108+Q121+Q125</f>
        <v>2215779.6612500004</v>
      </c>
      <c r="R8" s="16">
        <f>IF(O8=0,0,+Q8/O8-1)</f>
        <v>0</v>
      </c>
    </row>
    <row r="9" spans="1:19" ht="15.75" thickBot="1" x14ac:dyDescent="0.3">
      <c r="B9" s="17">
        <v>1</v>
      </c>
      <c r="C9" s="100" t="s">
        <v>22</v>
      </c>
      <c r="D9" s="101"/>
      <c r="E9" s="18">
        <f t="shared" ref="E9" si="0">SUM(E10:E17)</f>
        <v>1681.4</v>
      </c>
      <c r="F9" s="19">
        <f>SUM(F10:F18)</f>
        <v>7357.18</v>
      </c>
      <c r="G9" s="19">
        <f>SUM(G10:G18)</f>
        <v>6798.4699999999993</v>
      </c>
      <c r="H9" s="19">
        <f>SUM(H10:H18)</f>
        <v>58643.173999999999</v>
      </c>
      <c r="I9" s="19">
        <f>SUM(I10:I18)</f>
        <v>35228.244000000006</v>
      </c>
      <c r="J9" s="19"/>
      <c r="K9" s="20" t="e">
        <f>SUM(K10:K17)/COUNT(K10:K17)</f>
        <v>#DIV/0!</v>
      </c>
      <c r="L9" s="19">
        <f>SUM(L10:L18)</f>
        <v>58643.173999999999</v>
      </c>
      <c r="M9" s="19"/>
      <c r="N9" s="20" t="e">
        <f>SUM(N10:N17)/COUNT(N10:N17)</f>
        <v>#DIV/0!</v>
      </c>
      <c r="O9" s="19">
        <f>SUM(O10:O18)</f>
        <v>93871.418000000005</v>
      </c>
      <c r="P9" s="19"/>
      <c r="Q9" s="19">
        <f>SUM(Q10:Q18)</f>
        <v>93871.418000000005</v>
      </c>
      <c r="R9" s="21">
        <f>IF(O9=0,0,+Q9/O9-1)</f>
        <v>0</v>
      </c>
      <c r="S9">
        <v>1</v>
      </c>
    </row>
    <row r="10" spans="1:19" ht="18.75" customHeight="1" outlineLevel="1" x14ac:dyDescent="0.25">
      <c r="A10" s="9" t="str">
        <f>$B$9&amp;"."&amp;B10</f>
        <v>1.1.1</v>
      </c>
      <c r="B10" s="41" t="s">
        <v>23</v>
      </c>
      <c r="C10" s="42" t="s">
        <v>24</v>
      </c>
      <c r="D10" s="22" t="s">
        <v>25</v>
      </c>
      <c r="E10" s="22">
        <v>4</v>
      </c>
      <c r="F10" s="23">
        <v>269.45999999999998</v>
      </c>
      <c r="G10" s="23">
        <v>42.15</v>
      </c>
      <c r="H10" s="27">
        <f t="shared" ref="H10:H18" si="1">E10*F10</f>
        <v>1077.8399999999999</v>
      </c>
      <c r="I10" s="27">
        <f t="shared" ref="I10:I18" si="2">E10*G10</f>
        <v>168.6</v>
      </c>
      <c r="J10" s="45"/>
      <c r="K10" s="22"/>
      <c r="L10" s="26">
        <f t="shared" ref="L10:L18" si="3">E10*F10</f>
        <v>1077.8399999999999</v>
      </c>
      <c r="M10" s="26"/>
      <c r="N10" s="22"/>
      <c r="O10" s="26">
        <f>L10+I10</f>
        <v>1246.4399999999998</v>
      </c>
      <c r="P10" s="26"/>
      <c r="Q10" s="26">
        <f>IF(K10="",I10,J10/K10)+IF(N10="",L10,M10/N10)</f>
        <v>1246.4399999999998</v>
      </c>
      <c r="R10" s="28">
        <f>IF(O10=0,0,+Q10/O10-1)</f>
        <v>0</v>
      </c>
      <c r="S10">
        <v>2</v>
      </c>
    </row>
    <row r="11" spans="1:19" ht="18.75" customHeight="1" outlineLevel="1" x14ac:dyDescent="0.25">
      <c r="A11" s="9" t="str">
        <f>$B$9&amp;"."&amp;B11</f>
        <v>1.1.2</v>
      </c>
      <c r="B11" s="41" t="s">
        <v>26</v>
      </c>
      <c r="C11" s="43" t="s">
        <v>27</v>
      </c>
      <c r="D11" s="24" t="s">
        <v>25</v>
      </c>
      <c r="E11" s="24">
        <v>29</v>
      </c>
      <c r="F11" s="25">
        <v>245.65</v>
      </c>
      <c r="G11" s="25">
        <v>190.09</v>
      </c>
      <c r="H11" s="27">
        <f t="shared" si="1"/>
        <v>7123.85</v>
      </c>
      <c r="I11" s="27">
        <f t="shared" si="2"/>
        <v>5512.61</v>
      </c>
      <c r="J11" s="45"/>
      <c r="K11" s="22"/>
      <c r="L11" s="26">
        <f t="shared" si="3"/>
        <v>7123.85</v>
      </c>
      <c r="M11" s="26"/>
      <c r="N11" s="22"/>
      <c r="O11" s="27">
        <f t="shared" ref="O11:O58" si="4">L11+I11</f>
        <v>12636.46</v>
      </c>
      <c r="P11" s="27"/>
      <c r="Q11" s="27">
        <f>IF(K11="",I11,J11/K11)+IF(N11="",L11,M11/N11)</f>
        <v>12636.46</v>
      </c>
      <c r="R11" s="29">
        <f t="shared" ref="R11:R17" si="5">IF(O11=0,0,+Q11/O11-1)</f>
        <v>0</v>
      </c>
      <c r="S11">
        <v>3</v>
      </c>
    </row>
    <row r="12" spans="1:19" ht="18.75" customHeight="1" outlineLevel="1" x14ac:dyDescent="0.25">
      <c r="A12" s="9" t="str">
        <f t="shared" ref="A12:A17" si="6">$B$9&amp;"."&amp;B12</f>
        <v>1.1.3</v>
      </c>
      <c r="B12" s="41" t="s">
        <v>28</v>
      </c>
      <c r="C12" s="43" t="s">
        <v>29</v>
      </c>
      <c r="D12" s="24" t="s">
        <v>30</v>
      </c>
      <c r="E12" s="24">
        <v>1</v>
      </c>
      <c r="F12" s="25">
        <v>2856</v>
      </c>
      <c r="G12" s="25">
        <v>0</v>
      </c>
      <c r="H12" s="27">
        <f t="shared" si="1"/>
        <v>2856</v>
      </c>
      <c r="I12" s="27">
        <f t="shared" si="2"/>
        <v>0</v>
      </c>
      <c r="J12" s="45"/>
      <c r="K12" s="22"/>
      <c r="L12" s="26">
        <f t="shared" si="3"/>
        <v>2856</v>
      </c>
      <c r="M12" s="26"/>
      <c r="N12" s="22"/>
      <c r="O12" s="27">
        <f t="shared" si="4"/>
        <v>2856</v>
      </c>
      <c r="P12" s="27"/>
      <c r="Q12" s="27">
        <f t="shared" ref="Q12:Q16" si="7">IF(K12="",I12,J12/K12)+IF(N12="",L12,M12/N12)</f>
        <v>2856</v>
      </c>
      <c r="R12" s="29">
        <f t="shared" si="5"/>
        <v>0</v>
      </c>
      <c r="S12">
        <v>4</v>
      </c>
    </row>
    <row r="13" spans="1:19" ht="18.75" customHeight="1" outlineLevel="1" x14ac:dyDescent="0.25">
      <c r="A13" s="9" t="str">
        <f t="shared" si="6"/>
        <v>1.1.4</v>
      </c>
      <c r="B13" s="41" t="s">
        <v>31</v>
      </c>
      <c r="C13" s="43" t="s">
        <v>32</v>
      </c>
      <c r="D13" s="24" t="s">
        <v>25</v>
      </c>
      <c r="E13" s="24">
        <v>715</v>
      </c>
      <c r="F13" s="25">
        <v>1.26</v>
      </c>
      <c r="G13" s="25">
        <v>2.15</v>
      </c>
      <c r="H13" s="27">
        <f t="shared" si="1"/>
        <v>900.9</v>
      </c>
      <c r="I13" s="27">
        <f t="shared" si="2"/>
        <v>1537.25</v>
      </c>
      <c r="J13" s="45"/>
      <c r="K13" s="22"/>
      <c r="L13" s="26">
        <f t="shared" si="3"/>
        <v>900.9</v>
      </c>
      <c r="M13" s="26"/>
      <c r="N13" s="22"/>
      <c r="O13" s="27">
        <f t="shared" si="4"/>
        <v>2438.15</v>
      </c>
      <c r="P13" s="27"/>
      <c r="Q13" s="27">
        <f t="shared" si="7"/>
        <v>2438.15</v>
      </c>
      <c r="R13" s="29">
        <f t="shared" si="5"/>
        <v>0</v>
      </c>
      <c r="S13">
        <v>5</v>
      </c>
    </row>
    <row r="14" spans="1:19" ht="18.75" customHeight="1" outlineLevel="1" x14ac:dyDescent="0.25">
      <c r="A14" s="9" t="str">
        <f t="shared" si="6"/>
        <v>1.1.5</v>
      </c>
      <c r="B14" s="41" t="s">
        <v>33</v>
      </c>
      <c r="C14" s="43" t="s">
        <v>34</v>
      </c>
      <c r="D14" s="24" t="s">
        <v>35</v>
      </c>
      <c r="E14" s="24">
        <v>161.4</v>
      </c>
      <c r="F14" s="25">
        <v>28.56</v>
      </c>
      <c r="G14" s="25">
        <v>25.56</v>
      </c>
      <c r="H14" s="27">
        <f t="shared" si="1"/>
        <v>4609.5839999999998</v>
      </c>
      <c r="I14" s="27">
        <f t="shared" si="2"/>
        <v>4125.384</v>
      </c>
      <c r="J14" s="45"/>
      <c r="K14" s="22"/>
      <c r="L14" s="26">
        <f t="shared" si="3"/>
        <v>4609.5839999999998</v>
      </c>
      <c r="M14" s="26"/>
      <c r="N14" s="22"/>
      <c r="O14" s="27">
        <f t="shared" si="4"/>
        <v>8734.9680000000008</v>
      </c>
      <c r="P14" s="27"/>
      <c r="Q14" s="27">
        <f t="shared" si="7"/>
        <v>8734.9680000000008</v>
      </c>
      <c r="R14" s="29">
        <f t="shared" si="5"/>
        <v>0</v>
      </c>
      <c r="S14">
        <v>6</v>
      </c>
    </row>
    <row r="15" spans="1:19" ht="18.75" customHeight="1" outlineLevel="1" x14ac:dyDescent="0.25">
      <c r="A15" s="9" t="str">
        <f t="shared" si="6"/>
        <v>1.1.6</v>
      </c>
      <c r="B15" s="41" t="s">
        <v>36</v>
      </c>
      <c r="C15" s="43" t="s">
        <v>37</v>
      </c>
      <c r="D15" s="24" t="s">
        <v>38</v>
      </c>
      <c r="E15" s="24">
        <v>550</v>
      </c>
      <c r="F15" s="25">
        <v>45</v>
      </c>
      <c r="G15" s="25">
        <v>27</v>
      </c>
      <c r="H15" s="27">
        <f t="shared" si="1"/>
        <v>24750</v>
      </c>
      <c r="I15" s="27">
        <f t="shared" si="2"/>
        <v>14850</v>
      </c>
      <c r="J15" s="45"/>
      <c r="K15" s="22"/>
      <c r="L15" s="26">
        <f t="shared" si="3"/>
        <v>24750</v>
      </c>
      <c r="M15" s="26"/>
      <c r="N15" s="22"/>
      <c r="O15" s="27">
        <f t="shared" si="4"/>
        <v>39600</v>
      </c>
      <c r="P15" s="27"/>
      <c r="Q15" s="27">
        <f t="shared" si="7"/>
        <v>39600</v>
      </c>
      <c r="R15" s="29">
        <f t="shared" si="5"/>
        <v>0</v>
      </c>
      <c r="S15">
        <v>7</v>
      </c>
    </row>
    <row r="16" spans="1:19" ht="18.75" customHeight="1" outlineLevel="1" x14ac:dyDescent="0.25">
      <c r="A16" s="9" t="str">
        <f t="shared" si="6"/>
        <v>1.1.7</v>
      </c>
      <c r="B16" s="41" t="s">
        <v>39</v>
      </c>
      <c r="C16" s="43" t="s">
        <v>40</v>
      </c>
      <c r="D16" s="24" t="s">
        <v>25</v>
      </c>
      <c r="E16" s="24">
        <v>220</v>
      </c>
      <c r="F16" s="25">
        <v>61.25</v>
      </c>
      <c r="G16" s="25">
        <v>11.52</v>
      </c>
      <c r="H16" s="27">
        <f t="shared" si="1"/>
        <v>13475</v>
      </c>
      <c r="I16" s="27">
        <f t="shared" si="2"/>
        <v>2534.4</v>
      </c>
      <c r="J16" s="45"/>
      <c r="K16" s="22"/>
      <c r="L16" s="26">
        <f t="shared" si="3"/>
        <v>13475</v>
      </c>
      <c r="M16" s="26"/>
      <c r="N16" s="22"/>
      <c r="O16" s="27">
        <f t="shared" si="4"/>
        <v>16009.4</v>
      </c>
      <c r="P16" s="27"/>
      <c r="Q16" s="27">
        <f t="shared" si="7"/>
        <v>16009.4</v>
      </c>
      <c r="R16" s="29">
        <f t="shared" si="5"/>
        <v>0</v>
      </c>
      <c r="S16">
        <v>8</v>
      </c>
    </row>
    <row r="17" spans="1:19" ht="18.75" customHeight="1" outlineLevel="1" x14ac:dyDescent="0.25">
      <c r="A17" s="9" t="str">
        <f t="shared" si="6"/>
        <v>1.1.8</v>
      </c>
      <c r="B17" s="41" t="s">
        <v>41</v>
      </c>
      <c r="C17" s="43" t="s">
        <v>42</v>
      </c>
      <c r="D17" s="24" t="s">
        <v>30</v>
      </c>
      <c r="E17" s="24">
        <v>1</v>
      </c>
      <c r="F17" s="25">
        <v>3850</v>
      </c>
      <c r="G17" s="25">
        <v>2400</v>
      </c>
      <c r="H17" s="27">
        <f t="shared" si="1"/>
        <v>3850</v>
      </c>
      <c r="I17" s="27">
        <f t="shared" si="2"/>
        <v>2400</v>
      </c>
      <c r="J17" s="45"/>
      <c r="K17" s="22"/>
      <c r="L17" s="26">
        <f t="shared" si="3"/>
        <v>3850</v>
      </c>
      <c r="M17" s="26"/>
      <c r="N17" s="22"/>
      <c r="O17" s="27">
        <f t="shared" si="4"/>
        <v>6250</v>
      </c>
      <c r="P17" s="27"/>
      <c r="Q17" s="27">
        <f>IF(K17="",I17,J17/K17)+IF(N17="",L17,M17/N17)</f>
        <v>6250</v>
      </c>
      <c r="R17" s="29">
        <f t="shared" si="5"/>
        <v>0</v>
      </c>
      <c r="S17">
        <v>9</v>
      </c>
    </row>
    <row r="18" spans="1:19" ht="18.75" customHeight="1" outlineLevel="1" thickBot="1" x14ac:dyDescent="0.3">
      <c r="B18" s="41" t="s">
        <v>43</v>
      </c>
      <c r="C18" s="43" t="s">
        <v>44</v>
      </c>
      <c r="D18" s="24" t="s">
        <v>30</v>
      </c>
      <c r="E18" s="24">
        <v>1</v>
      </c>
      <c r="F18" s="25">
        <v>0</v>
      </c>
      <c r="G18" s="25">
        <v>4100</v>
      </c>
      <c r="H18" s="27">
        <f t="shared" si="1"/>
        <v>0</v>
      </c>
      <c r="I18" s="27">
        <f t="shared" si="2"/>
        <v>4100</v>
      </c>
      <c r="J18" s="45"/>
      <c r="K18" s="22"/>
      <c r="L18" s="26">
        <f t="shared" si="3"/>
        <v>0</v>
      </c>
      <c r="M18" s="26"/>
      <c r="N18" s="22"/>
      <c r="O18" s="27">
        <f t="shared" ref="O18" si="8">L18+I18</f>
        <v>4100</v>
      </c>
      <c r="P18" s="27"/>
      <c r="Q18" s="27">
        <f>IF(K18="",I18,J18/K18)+IF(N18="",L18,M18/N18)</f>
        <v>4100</v>
      </c>
      <c r="R18" s="29">
        <f t="shared" ref="R18" si="9">IF(O18=0,0,+Q18/O18-1)</f>
        <v>0</v>
      </c>
    </row>
    <row r="19" spans="1:19" ht="18.75" customHeight="1" thickBot="1" x14ac:dyDescent="0.3">
      <c r="B19" s="17">
        <v>2</v>
      </c>
      <c r="C19" s="100" t="s">
        <v>45</v>
      </c>
      <c r="D19" s="101"/>
      <c r="E19" s="18">
        <f t="shared" ref="E19" si="10">SUM(E20:E33)</f>
        <v>4111.74</v>
      </c>
      <c r="F19" s="19"/>
      <c r="G19" s="19"/>
      <c r="H19" s="19">
        <f>SUM(H20:H33)</f>
        <v>185580.70360000001</v>
      </c>
      <c r="I19" s="19">
        <f>SUM(I20:I33)</f>
        <v>176404.95070000002</v>
      </c>
      <c r="J19" s="19"/>
      <c r="K19" s="20" t="e">
        <f>SUM(K20:K33)/COUNT(K20:K33)</f>
        <v>#DIV/0!</v>
      </c>
      <c r="L19" s="19">
        <f>SUM(L20:L33)</f>
        <v>191827.3836</v>
      </c>
      <c r="M19" s="19"/>
      <c r="N19" s="20" t="e">
        <f>SUM(N20:N33)/COUNT(N20:N33)</f>
        <v>#DIV/0!</v>
      </c>
      <c r="O19" s="19">
        <f>SUM(O20:O33)</f>
        <v>368232.33430000005</v>
      </c>
      <c r="P19" s="19"/>
      <c r="Q19" s="19">
        <f>SUM(Q20:Q33)</f>
        <v>368232.33430000005</v>
      </c>
      <c r="R19" s="21">
        <f>IF(O19=0,0,+Q19/O19-1)</f>
        <v>0</v>
      </c>
      <c r="S19">
        <v>10</v>
      </c>
    </row>
    <row r="20" spans="1:19" ht="18.75" customHeight="1" outlineLevel="1" x14ac:dyDescent="0.25">
      <c r="A20" s="9" t="str">
        <f>$B$19&amp;"."&amp;B20</f>
        <v>2.2.1</v>
      </c>
      <c r="B20" s="46" t="s">
        <v>46</v>
      </c>
      <c r="C20" s="43" t="s">
        <v>47</v>
      </c>
      <c r="D20" s="22" t="s">
        <v>38</v>
      </c>
      <c r="E20" s="22">
        <v>192.27</v>
      </c>
      <c r="F20" s="23">
        <v>10.25</v>
      </c>
      <c r="G20" s="23">
        <v>18.45</v>
      </c>
      <c r="H20" s="27">
        <f t="shared" ref="H20:H35" si="11">E20*F20</f>
        <v>1970.7675000000002</v>
      </c>
      <c r="I20" s="27">
        <f>E20*G20+(4000)</f>
        <v>7547.3814999999995</v>
      </c>
      <c r="J20" s="26"/>
      <c r="K20" s="22"/>
      <c r="L20" s="26">
        <f>E20*F20</f>
        <v>1970.7675000000002</v>
      </c>
      <c r="M20" s="26"/>
      <c r="N20" s="22"/>
      <c r="O20" s="26">
        <f>L20+I20</f>
        <v>9518.1489999999994</v>
      </c>
      <c r="P20" s="26"/>
      <c r="Q20" s="26">
        <f>IF(K20="",I20,J20/K20)+IF(N20="",L20,M20/N20)</f>
        <v>9518.1489999999994</v>
      </c>
      <c r="R20" s="28">
        <f>IF(O20=0,0,+Q20/O20-1)</f>
        <v>0</v>
      </c>
      <c r="S20">
        <v>11</v>
      </c>
    </row>
    <row r="21" spans="1:19" ht="18.75" customHeight="1" outlineLevel="1" x14ac:dyDescent="0.25">
      <c r="A21" s="9" t="str">
        <f t="shared" ref="A21:A33" si="12">$B$19&amp;"."&amp;B21</f>
        <v>2.2.2</v>
      </c>
      <c r="B21" s="46" t="s">
        <v>48</v>
      </c>
      <c r="C21" s="43" t="s">
        <v>49</v>
      </c>
      <c r="D21" s="24" t="s">
        <v>25</v>
      </c>
      <c r="E21" s="24">
        <f>300+300</f>
        <v>600</v>
      </c>
      <c r="F21" s="25">
        <v>1.5</v>
      </c>
      <c r="G21" s="25">
        <v>2.2000000000000002</v>
      </c>
      <c r="H21" s="27">
        <f t="shared" si="11"/>
        <v>900</v>
      </c>
      <c r="I21" s="27">
        <f>E21*G21</f>
        <v>1320</v>
      </c>
      <c r="J21" s="26"/>
      <c r="K21" s="24"/>
      <c r="L21" s="27">
        <f>E21*F21</f>
        <v>900</v>
      </c>
      <c r="M21" s="27"/>
      <c r="N21" s="22"/>
      <c r="O21" s="27">
        <f t="shared" si="4"/>
        <v>2220</v>
      </c>
      <c r="P21" s="27"/>
      <c r="Q21" s="27">
        <f t="shared" ref="Q21:Q33" si="13">IF(K21="",I21,J21/K21)+IF(N21="",L21,M21/N21)</f>
        <v>2220</v>
      </c>
      <c r="R21" s="29">
        <f t="shared" ref="R21:R32" si="14">IF(O21=0,0,+Q21/O21-1)</f>
        <v>0</v>
      </c>
      <c r="S21">
        <v>12</v>
      </c>
    </row>
    <row r="22" spans="1:19" ht="18.75" customHeight="1" outlineLevel="1" x14ac:dyDescent="0.25">
      <c r="A22" s="9" t="str">
        <f t="shared" si="12"/>
        <v>2.2.3</v>
      </c>
      <c r="B22" s="46" t="s">
        <v>50</v>
      </c>
      <c r="C22" s="43" t="s">
        <v>51</v>
      </c>
      <c r="D22" s="24" t="s">
        <v>38</v>
      </c>
      <c r="E22" s="24">
        <f>12.65+5</f>
        <v>17.649999999999999</v>
      </c>
      <c r="F22" s="25">
        <v>290</v>
      </c>
      <c r="G22" s="25">
        <v>110</v>
      </c>
      <c r="H22" s="27">
        <f t="shared" si="11"/>
        <v>5118.5</v>
      </c>
      <c r="I22" s="27">
        <f>E22*G22</f>
        <v>1941.4999999999998</v>
      </c>
      <c r="J22" s="26"/>
      <c r="K22" s="24"/>
      <c r="L22" s="27">
        <f>E22*F22</f>
        <v>5118.5</v>
      </c>
      <c r="M22" s="27"/>
      <c r="N22" s="22"/>
      <c r="O22" s="27">
        <f t="shared" si="4"/>
        <v>7060</v>
      </c>
      <c r="P22" s="27"/>
      <c r="Q22" s="27">
        <f t="shared" si="13"/>
        <v>7060</v>
      </c>
      <c r="R22" s="29">
        <f t="shared" si="14"/>
        <v>0</v>
      </c>
      <c r="S22">
        <v>13</v>
      </c>
    </row>
    <row r="23" spans="1:19" ht="18.75" customHeight="1" outlineLevel="1" x14ac:dyDescent="0.25">
      <c r="A23" s="9" t="str">
        <f t="shared" si="12"/>
        <v>2.2.4</v>
      </c>
      <c r="B23" s="46" t="s">
        <v>52</v>
      </c>
      <c r="C23" s="43" t="s">
        <v>53</v>
      </c>
      <c r="D23" s="24" t="s">
        <v>25</v>
      </c>
      <c r="E23" s="24">
        <v>248.65</v>
      </c>
      <c r="F23" s="25">
        <v>55.65</v>
      </c>
      <c r="G23" s="25">
        <v>80</v>
      </c>
      <c r="H23" s="27">
        <f t="shared" si="11"/>
        <v>13837.372499999999</v>
      </c>
      <c r="I23" s="27">
        <f>E23*G23+(2880)</f>
        <v>22772</v>
      </c>
      <c r="J23" s="26"/>
      <c r="K23" s="24"/>
      <c r="L23" s="27">
        <f>E23*F23 + (2482.2)</f>
        <v>16319.572499999998</v>
      </c>
      <c r="M23" s="27"/>
      <c r="N23" s="22"/>
      <c r="O23" s="27">
        <f t="shared" si="4"/>
        <v>39091.572499999995</v>
      </c>
      <c r="P23" s="27"/>
      <c r="Q23" s="27">
        <f t="shared" si="13"/>
        <v>39091.572499999995</v>
      </c>
      <c r="R23" s="29">
        <f t="shared" si="14"/>
        <v>0</v>
      </c>
      <c r="S23">
        <v>14</v>
      </c>
    </row>
    <row r="24" spans="1:19" ht="18.75" customHeight="1" outlineLevel="1" x14ac:dyDescent="0.25">
      <c r="A24" s="9" t="str">
        <f t="shared" si="12"/>
        <v>2.2.5</v>
      </c>
      <c r="B24" s="46" t="s">
        <v>54</v>
      </c>
      <c r="C24" s="43" t="s">
        <v>55</v>
      </c>
      <c r="D24" s="24" t="s">
        <v>56</v>
      </c>
      <c r="E24" s="24">
        <v>1911.4</v>
      </c>
      <c r="F24" s="25">
        <v>9.5</v>
      </c>
      <c r="G24" s="25">
        <v>4.2</v>
      </c>
      <c r="H24" s="27">
        <f t="shared" si="11"/>
        <v>18158.3</v>
      </c>
      <c r="I24" s="27">
        <f>E24*G24 + (2823.36)</f>
        <v>10851.240000000002</v>
      </c>
      <c r="J24" s="26"/>
      <c r="K24" s="24"/>
      <c r="L24" s="27">
        <f>E24*F24 + (3764.48)</f>
        <v>21922.78</v>
      </c>
      <c r="M24" s="27"/>
      <c r="N24" s="22"/>
      <c r="O24" s="27">
        <f t="shared" si="4"/>
        <v>32774.020000000004</v>
      </c>
      <c r="P24" s="27"/>
      <c r="Q24" s="27">
        <f t="shared" si="13"/>
        <v>32774.020000000004</v>
      </c>
      <c r="R24" s="29">
        <f t="shared" si="14"/>
        <v>0</v>
      </c>
      <c r="S24">
        <v>15</v>
      </c>
    </row>
    <row r="25" spans="1:19" ht="18.75" customHeight="1" outlineLevel="1" x14ac:dyDescent="0.25">
      <c r="A25" s="9" t="str">
        <f t="shared" si="12"/>
        <v>2.2.6</v>
      </c>
      <c r="B25" s="46" t="s">
        <v>57</v>
      </c>
      <c r="C25" s="43" t="s">
        <v>58</v>
      </c>
      <c r="D25" s="24" t="s">
        <v>38</v>
      </c>
      <c r="E25" s="24">
        <f>58.96+23.5</f>
        <v>82.460000000000008</v>
      </c>
      <c r="F25" s="25">
        <v>550</v>
      </c>
      <c r="G25" s="25">
        <v>160</v>
      </c>
      <c r="H25" s="27">
        <f t="shared" si="11"/>
        <v>45353.000000000007</v>
      </c>
      <c r="I25" s="27">
        <f t="shared" ref="I25:I33" si="15">E25*G25</f>
        <v>13193.600000000002</v>
      </c>
      <c r="J25" s="26"/>
      <c r="K25" s="24"/>
      <c r="L25" s="27">
        <f t="shared" ref="L25:L33" si="16">E25*F25</f>
        <v>45353.000000000007</v>
      </c>
      <c r="M25" s="27"/>
      <c r="N25" s="22"/>
      <c r="O25" s="27">
        <f t="shared" si="4"/>
        <v>58546.600000000006</v>
      </c>
      <c r="P25" s="27"/>
      <c r="Q25" s="27">
        <f t="shared" si="13"/>
        <v>58546.600000000006</v>
      </c>
      <c r="R25" s="29">
        <f t="shared" si="14"/>
        <v>0</v>
      </c>
      <c r="S25">
        <v>16</v>
      </c>
    </row>
    <row r="26" spans="1:19" ht="18.75" customHeight="1" outlineLevel="1" x14ac:dyDescent="0.25">
      <c r="A26" s="9" t="str">
        <f t="shared" si="12"/>
        <v>2.2.7</v>
      </c>
      <c r="B26" s="46" t="s">
        <v>59</v>
      </c>
      <c r="C26" s="43" t="s">
        <v>60</v>
      </c>
      <c r="D26" s="24" t="s">
        <v>38</v>
      </c>
      <c r="E26" s="24">
        <v>200</v>
      </c>
      <c r="F26" s="25">
        <v>0</v>
      </c>
      <c r="G26" s="25">
        <v>25.56</v>
      </c>
      <c r="H26" s="27">
        <f t="shared" si="11"/>
        <v>0</v>
      </c>
      <c r="I26" s="27">
        <f t="shared" si="15"/>
        <v>5112</v>
      </c>
      <c r="J26" s="26"/>
      <c r="K26" s="24"/>
      <c r="L26" s="27">
        <f t="shared" si="16"/>
        <v>0</v>
      </c>
      <c r="M26" s="27"/>
      <c r="N26" s="22"/>
      <c r="O26" s="27">
        <f t="shared" si="4"/>
        <v>5112</v>
      </c>
      <c r="P26" s="27"/>
      <c r="Q26" s="27">
        <f t="shared" si="13"/>
        <v>5112</v>
      </c>
      <c r="R26" s="29">
        <f t="shared" si="14"/>
        <v>0</v>
      </c>
      <c r="S26">
        <v>17</v>
      </c>
    </row>
    <row r="27" spans="1:19" ht="18.75" customHeight="1" outlineLevel="1" x14ac:dyDescent="0.25">
      <c r="A27" s="9" t="str">
        <f>$B$19&amp;"."&amp;B27</f>
        <v>2.2.8</v>
      </c>
      <c r="B27" s="46" t="s">
        <v>61</v>
      </c>
      <c r="C27" s="43" t="s">
        <v>62</v>
      </c>
      <c r="D27" s="24" t="s">
        <v>25</v>
      </c>
      <c r="E27" s="47">
        <v>464.31</v>
      </c>
      <c r="F27" s="25">
        <v>85.56</v>
      </c>
      <c r="G27" s="25">
        <v>165.32</v>
      </c>
      <c r="H27" s="27">
        <f t="shared" si="11"/>
        <v>39726.363600000004</v>
      </c>
      <c r="I27" s="27">
        <f t="shared" si="15"/>
        <v>76759.729200000002</v>
      </c>
      <c r="J27" s="26"/>
      <c r="K27" s="24"/>
      <c r="L27" s="27">
        <f t="shared" si="16"/>
        <v>39726.363600000004</v>
      </c>
      <c r="M27" s="27"/>
      <c r="N27" s="22"/>
      <c r="O27" s="27">
        <f t="shared" si="4"/>
        <v>116486.09280000001</v>
      </c>
      <c r="P27" s="27"/>
      <c r="Q27" s="27">
        <f t="shared" si="13"/>
        <v>116486.09280000001</v>
      </c>
      <c r="R27" s="29"/>
      <c r="S27">
        <v>18</v>
      </c>
    </row>
    <row r="28" spans="1:19" ht="18.75" customHeight="1" outlineLevel="1" x14ac:dyDescent="0.25">
      <c r="A28" s="9" t="str">
        <f t="shared" si="12"/>
        <v>2.2.9</v>
      </c>
      <c r="B28" s="46" t="s">
        <v>63</v>
      </c>
      <c r="C28" s="43" t="s">
        <v>64</v>
      </c>
      <c r="D28" s="24" t="s">
        <v>30</v>
      </c>
      <c r="E28" s="24">
        <v>1</v>
      </c>
      <c r="F28" s="25">
        <v>14650</v>
      </c>
      <c r="G28" s="25">
        <v>12456</v>
      </c>
      <c r="H28" s="27">
        <f t="shared" si="11"/>
        <v>14650</v>
      </c>
      <c r="I28" s="27">
        <f t="shared" si="15"/>
        <v>12456</v>
      </c>
      <c r="J28" s="26"/>
      <c r="K28" s="24"/>
      <c r="L28" s="27">
        <f t="shared" si="16"/>
        <v>14650</v>
      </c>
      <c r="M28" s="27"/>
      <c r="N28" s="22"/>
      <c r="O28" s="27">
        <f t="shared" si="4"/>
        <v>27106</v>
      </c>
      <c r="P28" s="27"/>
      <c r="Q28" s="27">
        <f t="shared" si="13"/>
        <v>27106</v>
      </c>
      <c r="R28" s="29">
        <f t="shared" si="14"/>
        <v>0</v>
      </c>
      <c r="S28">
        <v>19</v>
      </c>
    </row>
    <row r="29" spans="1:19" ht="18.75" customHeight="1" outlineLevel="1" x14ac:dyDescent="0.25">
      <c r="A29" s="9" t="str">
        <f t="shared" si="12"/>
        <v>2.2.10</v>
      </c>
      <c r="B29" s="46" t="s">
        <v>65</v>
      </c>
      <c r="C29" s="43" t="s">
        <v>66</v>
      </c>
      <c r="D29" s="24" t="s">
        <v>30</v>
      </c>
      <c r="E29" s="24">
        <v>1</v>
      </c>
      <c r="F29" s="25">
        <v>7569</v>
      </c>
      <c r="G29" s="25">
        <v>5650</v>
      </c>
      <c r="H29" s="27">
        <f t="shared" si="11"/>
        <v>7569</v>
      </c>
      <c r="I29" s="27">
        <f t="shared" si="15"/>
        <v>5650</v>
      </c>
      <c r="J29" s="26"/>
      <c r="K29" s="24"/>
      <c r="L29" s="27">
        <f t="shared" si="16"/>
        <v>7569</v>
      </c>
      <c r="M29" s="27"/>
      <c r="N29" s="22"/>
      <c r="O29" s="27">
        <f t="shared" si="4"/>
        <v>13219</v>
      </c>
      <c r="P29" s="27"/>
      <c r="Q29" s="27">
        <f t="shared" si="13"/>
        <v>13219</v>
      </c>
      <c r="R29" s="29">
        <f t="shared" si="14"/>
        <v>0</v>
      </c>
      <c r="S29">
        <v>20</v>
      </c>
    </row>
    <row r="30" spans="1:19" ht="18.75" customHeight="1" outlineLevel="1" x14ac:dyDescent="0.25">
      <c r="A30" s="9" t="str">
        <f t="shared" si="12"/>
        <v>2.2.11</v>
      </c>
      <c r="B30" s="46" t="s">
        <v>67</v>
      </c>
      <c r="C30" s="43" t="s">
        <v>68</v>
      </c>
      <c r="D30" s="24" t="s">
        <v>30</v>
      </c>
      <c r="E30" s="24">
        <v>1</v>
      </c>
      <c r="F30" s="25">
        <v>1400</v>
      </c>
      <c r="G30" s="25">
        <v>900</v>
      </c>
      <c r="H30" s="27">
        <f t="shared" si="11"/>
        <v>1400</v>
      </c>
      <c r="I30" s="27">
        <f t="shared" si="15"/>
        <v>900</v>
      </c>
      <c r="J30" s="26"/>
      <c r="K30" s="24"/>
      <c r="L30" s="27">
        <f t="shared" si="16"/>
        <v>1400</v>
      </c>
      <c r="M30" s="27"/>
      <c r="N30" s="22"/>
      <c r="O30" s="27">
        <f t="shared" ref="O30:O31" si="17">L30+I30</f>
        <v>2300</v>
      </c>
      <c r="P30" s="27"/>
      <c r="Q30" s="27">
        <f t="shared" si="13"/>
        <v>2300</v>
      </c>
      <c r="R30" s="29"/>
      <c r="S30">
        <v>21</v>
      </c>
    </row>
    <row r="31" spans="1:19" ht="18.75" customHeight="1" outlineLevel="1" x14ac:dyDescent="0.25">
      <c r="A31" s="9" t="str">
        <f t="shared" si="12"/>
        <v>2.2.12</v>
      </c>
      <c r="B31" s="46" t="s">
        <v>69</v>
      </c>
      <c r="C31" s="43" t="s">
        <v>70</v>
      </c>
      <c r="D31" s="24" t="s">
        <v>30</v>
      </c>
      <c r="E31" s="24">
        <v>1</v>
      </c>
      <c r="F31" s="25">
        <f>9650+13000</f>
        <v>22650</v>
      </c>
      <c r="G31" s="25">
        <v>4560</v>
      </c>
      <c r="H31" s="27">
        <f t="shared" si="11"/>
        <v>22650</v>
      </c>
      <c r="I31" s="27">
        <f t="shared" si="15"/>
        <v>4560</v>
      </c>
      <c r="J31" s="26"/>
      <c r="K31" s="24"/>
      <c r="L31" s="27">
        <f t="shared" si="16"/>
        <v>22650</v>
      </c>
      <c r="M31" s="27"/>
      <c r="N31" s="22"/>
      <c r="O31" s="27">
        <f t="shared" si="17"/>
        <v>27210</v>
      </c>
      <c r="P31" s="27"/>
      <c r="Q31" s="27">
        <f t="shared" si="13"/>
        <v>27210</v>
      </c>
      <c r="R31" s="29"/>
      <c r="S31">
        <v>22</v>
      </c>
    </row>
    <row r="32" spans="1:19" ht="18.75" customHeight="1" outlineLevel="1" x14ac:dyDescent="0.25">
      <c r="A32" s="9" t="str">
        <f t="shared" si="12"/>
        <v>2.2.13</v>
      </c>
      <c r="B32" s="46" t="s">
        <v>71</v>
      </c>
      <c r="C32" s="43" t="s">
        <v>72</v>
      </c>
      <c r="D32" s="24" t="s">
        <v>30</v>
      </c>
      <c r="E32" s="24">
        <v>1</v>
      </c>
      <c r="F32" s="25">
        <v>8569</v>
      </c>
      <c r="G32" s="25">
        <v>4859</v>
      </c>
      <c r="H32" s="27">
        <f t="shared" si="11"/>
        <v>8569</v>
      </c>
      <c r="I32" s="27">
        <f t="shared" si="15"/>
        <v>4859</v>
      </c>
      <c r="J32" s="26"/>
      <c r="K32" s="24"/>
      <c r="L32" s="27">
        <f t="shared" si="16"/>
        <v>8569</v>
      </c>
      <c r="M32" s="27"/>
      <c r="N32" s="22"/>
      <c r="O32" s="27">
        <f t="shared" si="4"/>
        <v>13428</v>
      </c>
      <c r="P32" s="27"/>
      <c r="Q32" s="27">
        <f>IF(K32="",I32,J32/K32)+IF(N32="",L32,M32/N32)</f>
        <v>13428</v>
      </c>
      <c r="R32" s="29">
        <f t="shared" si="14"/>
        <v>0</v>
      </c>
      <c r="S32">
        <v>23</v>
      </c>
    </row>
    <row r="33" spans="1:19" ht="18.75" customHeight="1" outlineLevel="1" thickBot="1" x14ac:dyDescent="0.3">
      <c r="A33" s="9" t="str">
        <f t="shared" si="12"/>
        <v>2.2.14</v>
      </c>
      <c r="B33" s="46" t="s">
        <v>73</v>
      </c>
      <c r="C33" s="43" t="s">
        <v>74</v>
      </c>
      <c r="D33" s="24" t="s">
        <v>25</v>
      </c>
      <c r="E33" s="24">
        <f>195+195</f>
        <v>390</v>
      </c>
      <c r="F33" s="25">
        <v>14.56</v>
      </c>
      <c r="G33" s="25">
        <v>21.75</v>
      </c>
      <c r="H33" s="27">
        <f t="shared" si="11"/>
        <v>5678.4000000000005</v>
      </c>
      <c r="I33" s="27">
        <f t="shared" si="15"/>
        <v>8482.5</v>
      </c>
      <c r="J33" s="26"/>
      <c r="K33" s="24"/>
      <c r="L33" s="27">
        <f t="shared" si="16"/>
        <v>5678.4000000000005</v>
      </c>
      <c r="M33" s="27"/>
      <c r="N33" s="22"/>
      <c r="O33" s="27">
        <f t="shared" ref="O33" si="18">L33+I33</f>
        <v>14160.900000000001</v>
      </c>
      <c r="P33" s="27"/>
      <c r="Q33" s="27">
        <f t="shared" si="13"/>
        <v>14160.900000000001</v>
      </c>
      <c r="R33" s="29">
        <f t="shared" ref="R33" si="19">IF(O33=0,0,+Q33/O33-1)</f>
        <v>0</v>
      </c>
      <c r="S33">
        <v>24</v>
      </c>
    </row>
    <row r="34" spans="1:19" ht="18.75" customHeight="1" thickBot="1" x14ac:dyDescent="0.3">
      <c r="B34" s="17">
        <v>3</v>
      </c>
      <c r="C34" s="100" t="s">
        <v>75</v>
      </c>
      <c r="D34" s="101" t="s">
        <v>30</v>
      </c>
      <c r="E34" s="18">
        <v>1</v>
      </c>
      <c r="F34" s="19">
        <v>8569</v>
      </c>
      <c r="G34" s="19">
        <v>4859</v>
      </c>
      <c r="H34" s="19">
        <f t="shared" si="11"/>
        <v>8569</v>
      </c>
      <c r="I34" s="19">
        <f>SUM(I35:I40)</f>
        <v>103630.63400000001</v>
      </c>
      <c r="J34" s="19"/>
      <c r="K34" s="20"/>
      <c r="L34" s="19">
        <f>SUM(L35:L40)</f>
        <v>199902.17600000001</v>
      </c>
      <c r="M34" s="19"/>
      <c r="N34" s="20"/>
      <c r="O34" s="19">
        <f>SUM(O35:O40)</f>
        <v>303532.81</v>
      </c>
      <c r="P34" s="19"/>
      <c r="Q34" s="19">
        <f>SUM(Q35:Q40)</f>
        <v>303532.81</v>
      </c>
      <c r="R34" s="21">
        <f>IF(O34=0,0,+Q34/O34-1)</f>
        <v>0</v>
      </c>
      <c r="S34">
        <v>25</v>
      </c>
    </row>
    <row r="35" spans="1:19" ht="18.75" customHeight="1" outlineLevel="1" x14ac:dyDescent="0.25">
      <c r="A35" s="9" t="str">
        <f t="shared" ref="A35:A40" si="20">$B$34&amp;"."&amp;B35</f>
        <v>3.3.1</v>
      </c>
      <c r="B35" s="46" t="s">
        <v>76</v>
      </c>
      <c r="C35" s="43" t="s">
        <v>77</v>
      </c>
      <c r="D35" s="24" t="s">
        <v>25</v>
      </c>
      <c r="E35" s="24">
        <v>425.36</v>
      </c>
      <c r="F35" s="25">
        <v>57.85</v>
      </c>
      <c r="G35" s="25">
        <v>55.65</v>
      </c>
      <c r="H35" s="27">
        <f t="shared" si="11"/>
        <v>24607.076000000001</v>
      </c>
      <c r="I35" s="27">
        <f t="shared" ref="I35:I40" si="21">E35*G35</f>
        <v>23671.284</v>
      </c>
      <c r="J35" s="27"/>
      <c r="K35" s="24"/>
      <c r="L35" s="27">
        <f t="shared" ref="L35:L40" si="22">E35*F35</f>
        <v>24607.076000000001</v>
      </c>
      <c r="M35" s="26"/>
      <c r="N35" s="24"/>
      <c r="O35" s="27">
        <f t="shared" si="4"/>
        <v>48278.36</v>
      </c>
      <c r="P35" s="27"/>
      <c r="Q35" s="27">
        <f>IF(K35="",I35,J35/K35)+IF(N35="",L35,M35/N35)</f>
        <v>48278.36</v>
      </c>
      <c r="R35" s="29">
        <f t="shared" ref="R35:R40" si="23">IF(O35=0,0,+Q35/O35-1)</f>
        <v>0</v>
      </c>
      <c r="S35">
        <v>26</v>
      </c>
    </row>
    <row r="36" spans="1:19" ht="18.75" customHeight="1" outlineLevel="1" x14ac:dyDescent="0.25">
      <c r="A36" s="9" t="str">
        <f t="shared" si="20"/>
        <v>3.3.2</v>
      </c>
      <c r="B36" s="46" t="s">
        <v>78</v>
      </c>
      <c r="C36" s="43" t="s">
        <v>79</v>
      </c>
      <c r="D36" s="24" t="s">
        <v>56</v>
      </c>
      <c r="E36" s="24">
        <v>6988.8</v>
      </c>
      <c r="F36" s="25">
        <v>9.5</v>
      </c>
      <c r="G36" s="25">
        <v>4.2</v>
      </c>
      <c r="H36" s="27">
        <f t="shared" ref="H36:H40" si="24">G36+F36</f>
        <v>13.7</v>
      </c>
      <c r="I36" s="27">
        <f t="shared" si="21"/>
        <v>29352.960000000003</v>
      </c>
      <c r="J36" s="27"/>
      <c r="K36" s="24"/>
      <c r="L36" s="27">
        <f t="shared" si="22"/>
        <v>66393.600000000006</v>
      </c>
      <c r="M36" s="27"/>
      <c r="N36" s="24"/>
      <c r="O36" s="27">
        <f t="shared" si="4"/>
        <v>95746.560000000012</v>
      </c>
      <c r="P36" s="27"/>
      <c r="Q36" s="27">
        <f t="shared" ref="Q36:Q40" si="25">IF(K36="",I36,J36/K36)+IF(N36="",L36,M36/N36)</f>
        <v>95746.560000000012</v>
      </c>
      <c r="R36" s="29">
        <f t="shared" si="23"/>
        <v>0</v>
      </c>
      <c r="S36">
        <v>27</v>
      </c>
    </row>
    <row r="37" spans="1:19" ht="18.75" customHeight="1" outlineLevel="1" x14ac:dyDescent="0.25">
      <c r="A37" s="9" t="str">
        <f t="shared" si="20"/>
        <v>3.3.3</v>
      </c>
      <c r="B37" s="46" t="s">
        <v>80</v>
      </c>
      <c r="C37" s="43" t="s">
        <v>81</v>
      </c>
      <c r="D37" s="24" t="s">
        <v>38</v>
      </c>
      <c r="E37" s="24">
        <v>75.45</v>
      </c>
      <c r="F37" s="25">
        <v>550</v>
      </c>
      <c r="G37" s="25">
        <v>155</v>
      </c>
      <c r="H37" s="27">
        <f t="shared" si="24"/>
        <v>705</v>
      </c>
      <c r="I37" s="27">
        <f t="shared" si="21"/>
        <v>11694.75</v>
      </c>
      <c r="J37" s="27"/>
      <c r="K37" s="24"/>
      <c r="L37" s="27">
        <f t="shared" si="22"/>
        <v>41497.5</v>
      </c>
      <c r="M37" s="27"/>
      <c r="N37" s="24"/>
      <c r="O37" s="27">
        <f t="shared" si="4"/>
        <v>53192.25</v>
      </c>
      <c r="P37" s="27"/>
      <c r="Q37" s="27">
        <f t="shared" si="25"/>
        <v>53192.25</v>
      </c>
      <c r="R37" s="29">
        <f t="shared" si="23"/>
        <v>0</v>
      </c>
      <c r="S37">
        <v>28</v>
      </c>
    </row>
    <row r="38" spans="1:19" ht="18.75" customHeight="1" outlineLevel="1" x14ac:dyDescent="0.25">
      <c r="A38" s="9" t="str">
        <f t="shared" si="20"/>
        <v>3.3.4</v>
      </c>
      <c r="B38" s="46" t="s">
        <v>82</v>
      </c>
      <c r="C38" s="43" t="s">
        <v>83</v>
      </c>
      <c r="D38" s="24" t="s">
        <v>25</v>
      </c>
      <c r="E38" s="47">
        <v>436</v>
      </c>
      <c r="F38" s="25">
        <v>112.56</v>
      </c>
      <c r="G38" s="25">
        <v>35.65</v>
      </c>
      <c r="H38" s="27">
        <f t="shared" si="24"/>
        <v>148.21</v>
      </c>
      <c r="I38" s="27">
        <f t="shared" si="21"/>
        <v>15543.4</v>
      </c>
      <c r="J38" s="27"/>
      <c r="K38" s="24"/>
      <c r="L38" s="27">
        <f t="shared" si="22"/>
        <v>49076.160000000003</v>
      </c>
      <c r="M38" s="27"/>
      <c r="N38" s="24"/>
      <c r="O38" s="27">
        <f t="shared" si="4"/>
        <v>64619.560000000005</v>
      </c>
      <c r="P38" s="27"/>
      <c r="Q38" s="27">
        <f t="shared" si="25"/>
        <v>64619.560000000005</v>
      </c>
      <c r="R38" s="29">
        <f t="shared" si="23"/>
        <v>0</v>
      </c>
      <c r="S38">
        <v>29</v>
      </c>
    </row>
    <row r="39" spans="1:19" ht="18.75" customHeight="1" outlineLevel="1" x14ac:dyDescent="0.25">
      <c r="A39" s="9" t="str">
        <f t="shared" si="20"/>
        <v>3.3.5</v>
      </c>
      <c r="B39" s="46" t="s">
        <v>84</v>
      </c>
      <c r="C39" s="43" t="s">
        <v>85</v>
      </c>
      <c r="D39" s="24" t="s">
        <v>25</v>
      </c>
      <c r="E39" s="24">
        <v>654</v>
      </c>
      <c r="F39" s="25">
        <v>15.96</v>
      </c>
      <c r="G39" s="25">
        <v>18.559999999999999</v>
      </c>
      <c r="H39" s="27">
        <f t="shared" si="24"/>
        <v>34.519999999999996</v>
      </c>
      <c r="I39" s="27">
        <f t="shared" si="21"/>
        <v>12138.24</v>
      </c>
      <c r="J39" s="27"/>
      <c r="K39" s="24"/>
      <c r="L39" s="27">
        <f t="shared" si="22"/>
        <v>10437.84</v>
      </c>
      <c r="M39" s="27"/>
      <c r="N39" s="24"/>
      <c r="O39" s="27">
        <f t="shared" si="4"/>
        <v>22576.080000000002</v>
      </c>
      <c r="P39" s="27"/>
      <c r="Q39" s="27">
        <f t="shared" si="25"/>
        <v>22576.080000000002</v>
      </c>
      <c r="R39" s="29">
        <f t="shared" si="23"/>
        <v>0</v>
      </c>
      <c r="S39">
        <v>30</v>
      </c>
    </row>
    <row r="40" spans="1:19" ht="18.75" customHeight="1" outlineLevel="1" thickBot="1" x14ac:dyDescent="0.3">
      <c r="A40" s="9" t="str">
        <f t="shared" si="20"/>
        <v>3.3.6</v>
      </c>
      <c r="B40" s="46" t="s">
        <v>86</v>
      </c>
      <c r="C40" s="43" t="s">
        <v>87</v>
      </c>
      <c r="D40" s="24" t="s">
        <v>88</v>
      </c>
      <c r="E40" s="24">
        <v>1</v>
      </c>
      <c r="F40" s="25">
        <v>7890</v>
      </c>
      <c r="G40" s="25">
        <v>11230</v>
      </c>
      <c r="H40" s="27">
        <f t="shared" si="24"/>
        <v>19120</v>
      </c>
      <c r="I40" s="27">
        <f t="shared" si="21"/>
        <v>11230</v>
      </c>
      <c r="J40" s="27"/>
      <c r="K40" s="24"/>
      <c r="L40" s="27">
        <f t="shared" si="22"/>
        <v>7890</v>
      </c>
      <c r="M40" s="27"/>
      <c r="N40" s="24"/>
      <c r="O40" s="27">
        <f t="shared" si="4"/>
        <v>19120</v>
      </c>
      <c r="P40" s="27"/>
      <c r="Q40" s="27">
        <f t="shared" si="25"/>
        <v>19120</v>
      </c>
      <c r="R40" s="29">
        <f t="shared" si="23"/>
        <v>0</v>
      </c>
      <c r="S40">
        <v>31</v>
      </c>
    </row>
    <row r="41" spans="1:19" ht="18.75" customHeight="1" thickBot="1" x14ac:dyDescent="0.3">
      <c r="B41" s="17">
        <v>4</v>
      </c>
      <c r="C41" s="100" t="s">
        <v>89</v>
      </c>
      <c r="D41" s="101"/>
      <c r="E41" s="18">
        <f>SUM(E42:E51)</f>
        <v>3663.1099999999997</v>
      </c>
      <c r="F41" s="19"/>
      <c r="G41" s="19"/>
      <c r="H41" s="19">
        <f>SUM(H42:H51)</f>
        <v>42488.34</v>
      </c>
      <c r="I41" s="19">
        <f>SUM(I42:I51)</f>
        <v>107742.4552</v>
      </c>
      <c r="J41" s="19"/>
      <c r="K41" s="20"/>
      <c r="L41" s="19">
        <f>SUM(L42:L51)</f>
        <v>65432.829200000007</v>
      </c>
      <c r="M41" s="19"/>
      <c r="N41" s="20"/>
      <c r="O41" s="19">
        <f>SUM(O42:O51)</f>
        <v>173175.2844</v>
      </c>
      <c r="P41" s="19"/>
      <c r="Q41" s="19">
        <f>SUM(Q42:Q51)</f>
        <v>173175.2844</v>
      </c>
      <c r="R41" s="21">
        <f>IF(O41=0,0,+Q41/O41-1)</f>
        <v>0</v>
      </c>
      <c r="S41">
        <v>32</v>
      </c>
    </row>
    <row r="42" spans="1:19" ht="18.75" customHeight="1" outlineLevel="1" x14ac:dyDescent="0.25">
      <c r="A42" s="9" t="str">
        <f t="shared" ref="A42:A51" si="26">$B$41&amp;"."&amp;B42</f>
        <v>4.4.1</v>
      </c>
      <c r="B42" s="46" t="s">
        <v>90</v>
      </c>
      <c r="C42" s="48" t="s">
        <v>91</v>
      </c>
      <c r="D42" s="24" t="s">
        <v>25</v>
      </c>
      <c r="E42" s="47">
        <v>1538.28</v>
      </c>
      <c r="F42" s="25">
        <v>32.56</v>
      </c>
      <c r="G42" s="25">
        <v>32.56</v>
      </c>
      <c r="H42" s="27">
        <f t="shared" ref="H42:H50" si="27">G42+F42</f>
        <v>65.12</v>
      </c>
      <c r="I42" s="27">
        <f t="shared" ref="I42:I51" si="28">E42*G42</f>
        <v>50086.396800000002</v>
      </c>
      <c r="J42" s="27"/>
      <c r="K42" s="24"/>
      <c r="L42" s="27">
        <f t="shared" ref="L42:L51" si="29">E42*F42</f>
        <v>50086.396800000002</v>
      </c>
      <c r="M42" s="27"/>
      <c r="N42" s="24"/>
      <c r="O42" s="27">
        <f t="shared" si="4"/>
        <v>100172.7936</v>
      </c>
      <c r="P42" s="27"/>
      <c r="Q42" s="27">
        <f t="shared" ref="Q42:Q50" si="30">IF(K42="",I42,J42/K42)+IF(N42="",L42,M42/N42)</f>
        <v>100172.7936</v>
      </c>
      <c r="R42" s="29">
        <f t="shared" ref="R42:R50" si="31">IF(O42=0,0,+Q42/O42-1)</f>
        <v>0</v>
      </c>
      <c r="S42">
        <v>33</v>
      </c>
    </row>
    <row r="43" spans="1:19" ht="18.75" customHeight="1" outlineLevel="1" x14ac:dyDescent="0.25">
      <c r="A43" s="9" t="str">
        <f t="shared" si="26"/>
        <v>4.4.2</v>
      </c>
      <c r="B43" s="46" t="s">
        <v>92</v>
      </c>
      <c r="C43" s="48" t="s">
        <v>93</v>
      </c>
      <c r="D43" s="24" t="s">
        <v>25</v>
      </c>
      <c r="E43" s="47">
        <v>1538.28</v>
      </c>
      <c r="F43" s="25">
        <v>4.0199999999999996</v>
      </c>
      <c r="G43" s="25">
        <v>2.5</v>
      </c>
      <c r="H43" s="27">
        <f t="shared" si="27"/>
        <v>6.52</v>
      </c>
      <c r="I43" s="27">
        <f t="shared" si="28"/>
        <v>3845.7</v>
      </c>
      <c r="J43" s="27"/>
      <c r="K43" s="24"/>
      <c r="L43" s="27">
        <f t="shared" si="29"/>
        <v>6183.8855999999996</v>
      </c>
      <c r="M43" s="27"/>
      <c r="N43" s="24"/>
      <c r="O43" s="27">
        <f t="shared" si="4"/>
        <v>10029.585599999999</v>
      </c>
      <c r="P43" s="27"/>
      <c r="Q43" s="27">
        <f t="shared" si="30"/>
        <v>10029.585599999999</v>
      </c>
      <c r="R43" s="29">
        <f t="shared" si="31"/>
        <v>0</v>
      </c>
      <c r="S43">
        <v>34</v>
      </c>
    </row>
    <row r="44" spans="1:19" ht="18.75" customHeight="1" outlineLevel="1" x14ac:dyDescent="0.25">
      <c r="A44" s="9" t="str">
        <f t="shared" si="26"/>
        <v>4.4.3</v>
      </c>
      <c r="B44" s="46" t="s">
        <v>94</v>
      </c>
      <c r="C44" s="43" t="s">
        <v>95</v>
      </c>
      <c r="D44" s="24" t="s">
        <v>30</v>
      </c>
      <c r="E44" s="24">
        <v>1</v>
      </c>
      <c r="F44" s="25">
        <v>1895</v>
      </c>
      <c r="G44" s="25">
        <v>10560</v>
      </c>
      <c r="H44" s="27">
        <f t="shared" si="27"/>
        <v>12455</v>
      </c>
      <c r="I44" s="27">
        <f t="shared" si="28"/>
        <v>10560</v>
      </c>
      <c r="J44" s="27"/>
      <c r="K44" s="24"/>
      <c r="L44" s="27">
        <f t="shared" si="29"/>
        <v>1895</v>
      </c>
      <c r="M44" s="27"/>
      <c r="N44" s="24"/>
      <c r="O44" s="27">
        <f t="shared" si="4"/>
        <v>12455</v>
      </c>
      <c r="P44" s="27"/>
      <c r="Q44" s="27">
        <f t="shared" si="30"/>
        <v>12455</v>
      </c>
      <c r="R44" s="29">
        <f t="shared" si="31"/>
        <v>0</v>
      </c>
      <c r="S44">
        <v>35</v>
      </c>
    </row>
    <row r="45" spans="1:19" ht="18.75" customHeight="1" outlineLevel="1" x14ac:dyDescent="0.25">
      <c r="A45" s="9" t="str">
        <f t="shared" si="26"/>
        <v>4.4.4</v>
      </c>
      <c r="B45" s="46" t="s">
        <v>96</v>
      </c>
      <c r="C45" s="43" t="s">
        <v>97</v>
      </c>
      <c r="D45" s="24" t="s">
        <v>88</v>
      </c>
      <c r="E45" s="47">
        <v>33</v>
      </c>
      <c r="F45" s="25"/>
      <c r="G45" s="25">
        <v>250</v>
      </c>
      <c r="H45" s="27">
        <f t="shared" si="27"/>
        <v>250</v>
      </c>
      <c r="I45" s="27">
        <f t="shared" si="28"/>
        <v>8250</v>
      </c>
      <c r="J45" s="27"/>
      <c r="K45" s="24"/>
      <c r="L45" s="27">
        <f t="shared" si="29"/>
        <v>0</v>
      </c>
      <c r="M45" s="27"/>
      <c r="N45" s="24"/>
      <c r="O45" s="27">
        <f t="shared" si="4"/>
        <v>8250</v>
      </c>
      <c r="P45" s="27"/>
      <c r="Q45" s="27">
        <f t="shared" si="30"/>
        <v>8250</v>
      </c>
      <c r="R45" s="29">
        <f t="shared" si="31"/>
        <v>0</v>
      </c>
      <c r="S45">
        <v>36</v>
      </c>
    </row>
    <row r="46" spans="1:19" ht="18.75" customHeight="1" outlineLevel="1" x14ac:dyDescent="0.25">
      <c r="A46" s="9" t="str">
        <f t="shared" si="26"/>
        <v>4.4.5</v>
      </c>
      <c r="B46" s="46" t="s">
        <v>98</v>
      </c>
      <c r="C46" s="48" t="s">
        <v>99</v>
      </c>
      <c r="D46" s="24" t="s">
        <v>30</v>
      </c>
      <c r="E46" s="24">
        <v>1</v>
      </c>
      <c r="F46" s="25"/>
      <c r="G46" s="25"/>
      <c r="H46" s="27">
        <f t="shared" si="27"/>
        <v>0</v>
      </c>
      <c r="I46" s="27">
        <f t="shared" si="28"/>
        <v>0</v>
      </c>
      <c r="J46" s="27"/>
      <c r="K46" s="24"/>
      <c r="L46" s="27">
        <f t="shared" si="29"/>
        <v>0</v>
      </c>
      <c r="M46" s="27"/>
      <c r="N46" s="24"/>
      <c r="O46" s="27">
        <f t="shared" si="4"/>
        <v>0</v>
      </c>
      <c r="P46" s="27"/>
      <c r="Q46" s="27">
        <f t="shared" si="30"/>
        <v>0</v>
      </c>
      <c r="R46" s="29">
        <f t="shared" si="31"/>
        <v>0</v>
      </c>
      <c r="S46">
        <v>37</v>
      </c>
    </row>
    <row r="47" spans="1:19" ht="18.75" customHeight="1" outlineLevel="1" x14ac:dyDescent="0.25">
      <c r="A47" s="9" t="str">
        <f t="shared" si="26"/>
        <v>4.4.6</v>
      </c>
      <c r="B47" s="46" t="s">
        <v>100</v>
      </c>
      <c r="C47" s="43" t="s">
        <v>101</v>
      </c>
      <c r="D47" s="24" t="s">
        <v>35</v>
      </c>
      <c r="E47" s="47">
        <v>512.76</v>
      </c>
      <c r="F47" s="25">
        <v>8.69</v>
      </c>
      <c r="G47" s="25">
        <v>6.57</v>
      </c>
      <c r="H47" s="27">
        <f t="shared" si="27"/>
        <v>15.26</v>
      </c>
      <c r="I47" s="27">
        <f t="shared" si="28"/>
        <v>3368.8332</v>
      </c>
      <c r="J47" s="27"/>
      <c r="K47" s="24"/>
      <c r="L47" s="27">
        <f t="shared" si="29"/>
        <v>4455.8843999999999</v>
      </c>
      <c r="M47" s="27"/>
      <c r="N47" s="24"/>
      <c r="O47" s="27">
        <f t="shared" si="4"/>
        <v>7824.7175999999999</v>
      </c>
      <c r="P47" s="27"/>
      <c r="Q47" s="27">
        <f t="shared" si="30"/>
        <v>7824.7175999999999</v>
      </c>
      <c r="R47" s="29">
        <f t="shared" si="31"/>
        <v>0</v>
      </c>
      <c r="S47">
        <v>38</v>
      </c>
    </row>
    <row r="48" spans="1:19" ht="18.75" customHeight="1" outlineLevel="1" x14ac:dyDescent="0.25">
      <c r="A48" s="9" t="str">
        <f t="shared" si="26"/>
        <v>4.4.7</v>
      </c>
      <c r="B48" s="46" t="s">
        <v>102</v>
      </c>
      <c r="C48" s="48" t="s">
        <v>103</v>
      </c>
      <c r="D48" s="24" t="s">
        <v>30</v>
      </c>
      <c r="E48" s="24">
        <v>1</v>
      </c>
      <c r="F48" s="49"/>
      <c r="G48" s="25"/>
      <c r="H48" s="27">
        <f t="shared" si="27"/>
        <v>0</v>
      </c>
      <c r="I48" s="27">
        <f t="shared" si="28"/>
        <v>0</v>
      </c>
      <c r="J48" s="27"/>
      <c r="K48" s="24"/>
      <c r="L48" s="27">
        <f t="shared" si="29"/>
        <v>0</v>
      </c>
      <c r="M48" s="27"/>
      <c r="N48" s="24"/>
      <c r="O48" s="27">
        <f t="shared" si="4"/>
        <v>0</v>
      </c>
      <c r="P48" s="27"/>
      <c r="Q48" s="27">
        <f t="shared" si="30"/>
        <v>0</v>
      </c>
      <c r="R48" s="29">
        <f t="shared" si="31"/>
        <v>0</v>
      </c>
      <c r="S48">
        <v>39</v>
      </c>
    </row>
    <row r="49" spans="1:19" ht="18.75" customHeight="1" outlineLevel="1" x14ac:dyDescent="0.25">
      <c r="A49" s="9" t="str">
        <f t="shared" si="26"/>
        <v>4.4.8</v>
      </c>
      <c r="B49" s="46" t="s">
        <v>104</v>
      </c>
      <c r="C49" s="48" t="s">
        <v>105</v>
      </c>
      <c r="D49" s="24" t="s">
        <v>30</v>
      </c>
      <c r="E49" s="24">
        <v>1</v>
      </c>
      <c r="F49" s="49"/>
      <c r="G49" s="25"/>
      <c r="H49" s="27">
        <f t="shared" si="27"/>
        <v>0</v>
      </c>
      <c r="I49" s="27">
        <f t="shared" si="28"/>
        <v>0</v>
      </c>
      <c r="J49" s="27"/>
      <c r="K49" s="24"/>
      <c r="L49" s="27">
        <f t="shared" si="29"/>
        <v>0</v>
      </c>
      <c r="M49" s="27"/>
      <c r="N49" s="24"/>
      <c r="O49" s="27">
        <f t="shared" si="4"/>
        <v>0</v>
      </c>
      <c r="P49" s="27"/>
      <c r="Q49" s="27">
        <f t="shared" si="30"/>
        <v>0</v>
      </c>
      <c r="R49" s="29">
        <f t="shared" si="31"/>
        <v>0</v>
      </c>
      <c r="S49">
        <v>40</v>
      </c>
    </row>
    <row r="50" spans="1:19" ht="18.75" customHeight="1" outlineLevel="1" x14ac:dyDescent="0.25">
      <c r="A50" s="9" t="str">
        <f t="shared" si="26"/>
        <v>4.4.9</v>
      </c>
      <c r="B50" s="46" t="s">
        <v>106</v>
      </c>
      <c r="C50" s="43" t="s">
        <v>107</v>
      </c>
      <c r="D50" s="24" t="s">
        <v>35</v>
      </c>
      <c r="E50" s="47">
        <v>35.79</v>
      </c>
      <c r="F50" s="25">
        <v>78.56</v>
      </c>
      <c r="G50" s="25">
        <v>57.88</v>
      </c>
      <c r="H50" s="27">
        <f t="shared" si="27"/>
        <v>136.44</v>
      </c>
      <c r="I50" s="27">
        <f t="shared" si="28"/>
        <v>2071.5252</v>
      </c>
      <c r="J50" s="27"/>
      <c r="K50" s="24"/>
      <c r="L50" s="27">
        <f t="shared" si="29"/>
        <v>2811.6624000000002</v>
      </c>
      <c r="M50" s="27"/>
      <c r="N50" s="24"/>
      <c r="O50" s="27">
        <f t="shared" si="4"/>
        <v>4883.1876000000002</v>
      </c>
      <c r="P50" s="27"/>
      <c r="Q50" s="27">
        <f t="shared" si="30"/>
        <v>4883.1876000000002</v>
      </c>
      <c r="R50" s="29">
        <f t="shared" si="31"/>
        <v>0</v>
      </c>
      <c r="S50">
        <v>41</v>
      </c>
    </row>
    <row r="51" spans="1:19" ht="18.75" customHeight="1" outlineLevel="1" thickBot="1" x14ac:dyDescent="0.3">
      <c r="A51" s="9" t="str">
        <f t="shared" si="26"/>
        <v>4.4.10</v>
      </c>
      <c r="B51" s="46" t="s">
        <v>108</v>
      </c>
      <c r="C51" s="48" t="s">
        <v>109</v>
      </c>
      <c r="D51" s="24" t="s">
        <v>30</v>
      </c>
      <c r="E51" s="24">
        <v>1</v>
      </c>
      <c r="F51" s="25"/>
      <c r="G51" s="25">
        <v>29560</v>
      </c>
      <c r="H51" s="27">
        <f t="shared" ref="H51" si="32">G51+F51</f>
        <v>29560</v>
      </c>
      <c r="I51" s="27">
        <f t="shared" si="28"/>
        <v>29560</v>
      </c>
      <c r="J51" s="27"/>
      <c r="K51" s="24"/>
      <c r="L51" s="27">
        <f t="shared" si="29"/>
        <v>0</v>
      </c>
      <c r="M51" s="27"/>
      <c r="N51" s="24"/>
      <c r="O51" s="27">
        <f t="shared" ref="O51" si="33">L51+I51</f>
        <v>29560</v>
      </c>
      <c r="P51" s="27"/>
      <c r="Q51" s="27">
        <f t="shared" ref="Q51" si="34">IF(K51="",I51,J51/K51)+IF(N51="",L51,M51/N51)</f>
        <v>29560</v>
      </c>
      <c r="R51" s="29">
        <f t="shared" ref="R51" si="35">IF(O51=0,0,+Q51/O51-1)</f>
        <v>0</v>
      </c>
      <c r="S51">
        <v>42</v>
      </c>
    </row>
    <row r="52" spans="1:19" ht="18.75" customHeight="1" thickBot="1" x14ac:dyDescent="0.3">
      <c r="B52" s="17" t="s">
        <v>110</v>
      </c>
      <c r="C52" s="100" t="s">
        <v>111</v>
      </c>
      <c r="D52" s="101"/>
      <c r="E52" s="18">
        <f>SUM(E53:E58)</f>
        <v>10130.57</v>
      </c>
      <c r="F52" s="19"/>
      <c r="G52" s="19"/>
      <c r="H52" s="19">
        <f>SUM(H53:H58)</f>
        <v>308.22000000000003</v>
      </c>
      <c r="I52" s="19">
        <f>SUM(I53:I58)</f>
        <v>183374.25880000001</v>
      </c>
      <c r="J52" s="19"/>
      <c r="K52" s="20"/>
      <c r="L52" s="19">
        <f>SUM(L53:L58)</f>
        <v>76914</v>
      </c>
      <c r="M52" s="19"/>
      <c r="N52" s="20"/>
      <c r="O52" s="19">
        <f>SUM(O53:O58)</f>
        <v>260288.25879999998</v>
      </c>
      <c r="P52" s="19"/>
      <c r="Q52" s="19">
        <f>SUM(Q53:Q58)</f>
        <v>260288.25879999998</v>
      </c>
      <c r="R52" s="21">
        <f>IF(O52=0,0,+Q52/O52-1)</f>
        <v>0</v>
      </c>
      <c r="S52">
        <v>43</v>
      </c>
    </row>
    <row r="53" spans="1:19" ht="18.75" customHeight="1" outlineLevel="1" x14ac:dyDescent="0.25">
      <c r="A53" s="9" t="str">
        <f t="shared" ref="A53:A58" si="36">$B$52&amp;"."&amp;B53</f>
        <v>5.1.5.1.1</v>
      </c>
      <c r="B53" s="46" t="s">
        <v>112</v>
      </c>
      <c r="C53" s="48" t="s">
        <v>113</v>
      </c>
      <c r="D53" s="24" t="s">
        <v>25</v>
      </c>
      <c r="E53" s="24">
        <v>3076.56</v>
      </c>
      <c r="F53" s="25">
        <v>3.54</v>
      </c>
      <c r="G53" s="25">
        <v>6.6</v>
      </c>
      <c r="H53" s="27">
        <f t="shared" ref="H53:H58" si="37">G53+F53</f>
        <v>10.14</v>
      </c>
      <c r="I53" s="27">
        <f t="shared" ref="I53:I58" si="38">E53*G53</f>
        <v>20305.295999999998</v>
      </c>
      <c r="J53" s="27"/>
      <c r="K53" s="24"/>
      <c r="L53" s="27">
        <f t="shared" ref="L53:L58" si="39">E53*F53</f>
        <v>10891.0224</v>
      </c>
      <c r="M53" s="27"/>
      <c r="N53" s="24"/>
      <c r="O53" s="27">
        <f t="shared" si="4"/>
        <v>31196.318399999996</v>
      </c>
      <c r="P53" s="27"/>
      <c r="Q53" s="27">
        <f t="shared" ref="Q53:Q58" si="40">IF(K53="",I53,J53/K53)+IF(N53="",L53,M53/N53)</f>
        <v>31196.318399999996</v>
      </c>
      <c r="R53" s="29">
        <f t="shared" ref="R53:R58" si="41">IF(O53=0,0,+Q53/O53-1)</f>
        <v>0</v>
      </c>
      <c r="S53">
        <v>44</v>
      </c>
    </row>
    <row r="54" spans="1:19" ht="18.75" customHeight="1" outlineLevel="1" x14ac:dyDescent="0.25">
      <c r="A54" s="9" t="str">
        <f t="shared" si="36"/>
        <v>5.1.5.1.2</v>
      </c>
      <c r="B54" s="46" t="s">
        <v>114</v>
      </c>
      <c r="C54" s="48" t="s">
        <v>115</v>
      </c>
      <c r="D54" s="24" t="s">
        <v>25</v>
      </c>
      <c r="E54" s="24">
        <v>3076.56</v>
      </c>
      <c r="F54" s="25">
        <v>17.440000000000001</v>
      </c>
      <c r="G54" s="25">
        <v>34.56</v>
      </c>
      <c r="H54" s="27">
        <f t="shared" si="37"/>
        <v>52</v>
      </c>
      <c r="I54" s="27">
        <f t="shared" si="38"/>
        <v>106325.9136</v>
      </c>
      <c r="J54" s="27"/>
      <c r="K54" s="24"/>
      <c r="L54" s="27">
        <f t="shared" si="39"/>
        <v>53655.206400000003</v>
      </c>
      <c r="M54" s="27"/>
      <c r="N54" s="24"/>
      <c r="O54" s="27">
        <f t="shared" si="4"/>
        <v>159981.12</v>
      </c>
      <c r="P54" s="27"/>
      <c r="Q54" s="27">
        <f t="shared" si="40"/>
        <v>159981.12</v>
      </c>
      <c r="R54" s="29">
        <f t="shared" si="41"/>
        <v>0</v>
      </c>
      <c r="S54">
        <v>45</v>
      </c>
    </row>
    <row r="55" spans="1:19" ht="18.75" customHeight="1" outlineLevel="1" x14ac:dyDescent="0.25">
      <c r="A55" s="9" t="str">
        <f t="shared" si="36"/>
        <v>5.1.5.1.3</v>
      </c>
      <c r="B55" s="46" t="s">
        <v>116</v>
      </c>
      <c r="C55" s="48" t="s">
        <v>117</v>
      </c>
      <c r="D55" s="24" t="s">
        <v>25</v>
      </c>
      <c r="E55" s="24">
        <v>3076.56</v>
      </c>
      <c r="F55" s="25">
        <v>4.0199999999999996</v>
      </c>
      <c r="G55" s="25">
        <v>2.5</v>
      </c>
      <c r="H55" s="27">
        <f t="shared" si="37"/>
        <v>6.52</v>
      </c>
      <c r="I55" s="27">
        <f t="shared" si="38"/>
        <v>7691.4</v>
      </c>
      <c r="J55" s="27"/>
      <c r="K55" s="24"/>
      <c r="L55" s="27">
        <f t="shared" si="39"/>
        <v>12367.771199999999</v>
      </c>
      <c r="M55" s="27"/>
      <c r="N55" s="24"/>
      <c r="O55" s="27">
        <f t="shared" si="4"/>
        <v>20059.171199999997</v>
      </c>
      <c r="P55" s="27"/>
      <c r="Q55" s="27">
        <f t="shared" si="40"/>
        <v>20059.171199999997</v>
      </c>
      <c r="R55" s="29">
        <f t="shared" si="41"/>
        <v>0</v>
      </c>
      <c r="S55">
        <v>46</v>
      </c>
    </row>
    <row r="56" spans="1:19" ht="18.75" customHeight="1" outlineLevel="1" x14ac:dyDescent="0.25">
      <c r="A56" s="9" t="str">
        <f t="shared" si="36"/>
        <v>5.1.5.1.4</v>
      </c>
      <c r="B56" s="46" t="s">
        <v>118</v>
      </c>
      <c r="C56" s="43" t="s">
        <v>119</v>
      </c>
      <c r="D56" s="24" t="s">
        <v>25</v>
      </c>
      <c r="E56" s="47">
        <v>401.82</v>
      </c>
      <c r="F56" s="25"/>
      <c r="G56" s="25">
        <v>60</v>
      </c>
      <c r="H56" s="27">
        <f t="shared" si="37"/>
        <v>60</v>
      </c>
      <c r="I56" s="27">
        <f t="shared" si="38"/>
        <v>24109.200000000001</v>
      </c>
      <c r="J56" s="27"/>
      <c r="K56" s="24"/>
      <c r="L56" s="27">
        <f t="shared" si="39"/>
        <v>0</v>
      </c>
      <c r="M56" s="27"/>
      <c r="N56" s="24"/>
      <c r="O56" s="27">
        <f t="shared" si="4"/>
        <v>24109.200000000001</v>
      </c>
      <c r="P56" s="27"/>
      <c r="Q56" s="27">
        <f t="shared" si="40"/>
        <v>24109.200000000001</v>
      </c>
      <c r="R56" s="29">
        <f t="shared" si="41"/>
        <v>0</v>
      </c>
      <c r="S56">
        <v>47</v>
      </c>
    </row>
    <row r="57" spans="1:19" ht="18.75" customHeight="1" outlineLevel="1" x14ac:dyDescent="0.25">
      <c r="A57" s="9" t="str">
        <f t="shared" si="36"/>
        <v>5.1.5.1.5</v>
      </c>
      <c r="B57" s="46" t="s">
        <v>120</v>
      </c>
      <c r="C57" s="43" t="s">
        <v>121</v>
      </c>
      <c r="D57" s="24" t="s">
        <v>25</v>
      </c>
      <c r="E57" s="47">
        <v>401.82</v>
      </c>
      <c r="F57" s="25"/>
      <c r="G57" s="25">
        <v>24.56</v>
      </c>
      <c r="H57" s="27">
        <f t="shared" si="37"/>
        <v>24.56</v>
      </c>
      <c r="I57" s="27">
        <f t="shared" si="38"/>
        <v>9868.6991999999991</v>
      </c>
      <c r="J57" s="27"/>
      <c r="K57" s="24"/>
      <c r="L57" s="27">
        <f t="shared" si="39"/>
        <v>0</v>
      </c>
      <c r="M57" s="27"/>
      <c r="N57" s="24"/>
      <c r="O57" s="27">
        <f t="shared" si="4"/>
        <v>9868.6991999999991</v>
      </c>
      <c r="P57" s="27"/>
      <c r="Q57" s="27">
        <f t="shared" si="40"/>
        <v>9868.6991999999991</v>
      </c>
      <c r="R57" s="29">
        <f t="shared" si="41"/>
        <v>0</v>
      </c>
      <c r="S57">
        <v>48</v>
      </c>
    </row>
    <row r="58" spans="1:19" ht="18.75" customHeight="1" outlineLevel="1" thickBot="1" x14ac:dyDescent="0.3">
      <c r="A58" s="9" t="str">
        <f t="shared" si="36"/>
        <v>5.1.5.1.6</v>
      </c>
      <c r="B58" s="46" t="s">
        <v>122</v>
      </c>
      <c r="C58" s="43" t="s">
        <v>123</v>
      </c>
      <c r="D58" s="24" t="s">
        <v>25</v>
      </c>
      <c r="E58" s="47">
        <v>97.25</v>
      </c>
      <c r="F58" s="25"/>
      <c r="G58" s="25">
        <v>155</v>
      </c>
      <c r="H58" s="27">
        <f t="shared" si="37"/>
        <v>155</v>
      </c>
      <c r="I58" s="27">
        <f t="shared" si="38"/>
        <v>15073.75</v>
      </c>
      <c r="J58" s="27"/>
      <c r="K58" s="24"/>
      <c r="L58" s="27">
        <f t="shared" si="39"/>
        <v>0</v>
      </c>
      <c r="M58" s="27"/>
      <c r="N58" s="24"/>
      <c r="O58" s="27">
        <f t="shared" si="4"/>
        <v>15073.75</v>
      </c>
      <c r="P58" s="27"/>
      <c r="Q58" s="27">
        <f t="shared" si="40"/>
        <v>15073.75</v>
      </c>
      <c r="R58" s="29">
        <f t="shared" si="41"/>
        <v>0</v>
      </c>
      <c r="S58">
        <v>49</v>
      </c>
    </row>
    <row r="59" spans="1:19" ht="18.75" customHeight="1" thickBot="1" x14ac:dyDescent="0.3">
      <c r="B59" s="17" t="s">
        <v>124</v>
      </c>
      <c r="C59" s="100" t="s">
        <v>125</v>
      </c>
      <c r="D59" s="101"/>
      <c r="E59" s="18">
        <f>SUM(E60:E64)</f>
        <v>1205.0124761904763</v>
      </c>
      <c r="F59" s="19"/>
      <c r="G59" s="19"/>
      <c r="H59" s="19">
        <f>SUM(H60:H64)</f>
        <v>3270.79</v>
      </c>
      <c r="I59" s="19">
        <f>SUM(I60:I64)</f>
        <v>66796.81</v>
      </c>
      <c r="J59" s="19"/>
      <c r="K59" s="20"/>
      <c r="L59" s="19">
        <f>SUM(L60:L64)</f>
        <v>16735.740700000002</v>
      </c>
      <c r="M59" s="19"/>
      <c r="N59" s="20"/>
      <c r="O59" s="19">
        <f>SUM(O60:O64)</f>
        <v>83532.550700000007</v>
      </c>
      <c r="P59" s="19"/>
      <c r="Q59" s="19">
        <f>SUM(Q60:Q64)</f>
        <v>83532.550700000007</v>
      </c>
      <c r="R59" s="21">
        <f>IF(O59=0,0,+Q59/O59-1)</f>
        <v>0</v>
      </c>
      <c r="S59">
        <v>50</v>
      </c>
    </row>
    <row r="60" spans="1:19" ht="18.75" customHeight="1" outlineLevel="1" x14ac:dyDescent="0.25">
      <c r="A60" s="9" t="str">
        <f>$B$59&amp;"."&amp;B60</f>
        <v>5.2.5.2.1</v>
      </c>
      <c r="B60" s="46" t="s">
        <v>126</v>
      </c>
      <c r="C60" s="43" t="s">
        <v>127</v>
      </c>
      <c r="D60" s="24" t="s">
        <v>25</v>
      </c>
      <c r="E60" s="47">
        <v>139.15</v>
      </c>
      <c r="F60" s="25">
        <v>62.56</v>
      </c>
      <c r="G60" s="25">
        <v>35</v>
      </c>
      <c r="H60" s="27">
        <f t="shared" ref="H60:H64" si="42">G60+F60</f>
        <v>97.56</v>
      </c>
      <c r="I60" s="27">
        <f>E60*G60</f>
        <v>4870.25</v>
      </c>
      <c r="J60" s="27"/>
      <c r="K60" s="24"/>
      <c r="L60" s="27">
        <f>E60*F60</f>
        <v>8705.2240000000002</v>
      </c>
      <c r="M60" s="27"/>
      <c r="N60" s="24"/>
      <c r="O60" s="27">
        <f t="shared" ref="O60:O106" si="43">L60+I60</f>
        <v>13575.474</v>
      </c>
      <c r="P60" s="27"/>
      <c r="Q60" s="27">
        <f t="shared" ref="Q60:Q64" si="44">IF(K60="",I60,J60/K60)+IF(N60="",L60,M60/N60)</f>
        <v>13575.474</v>
      </c>
      <c r="R60" s="29">
        <f t="shared" ref="R60:R64" si="45">IF(O60=0,0,+Q60/O60-1)</f>
        <v>0</v>
      </c>
      <c r="S60">
        <v>51</v>
      </c>
    </row>
    <row r="61" spans="1:19" ht="18.75" customHeight="1" outlineLevel="1" x14ac:dyDescent="0.25">
      <c r="A61" s="9" t="str">
        <f>$B$59&amp;"."&amp;B61</f>
        <v>5.2.5.2.2</v>
      </c>
      <c r="B61" s="46" t="s">
        <v>128</v>
      </c>
      <c r="C61" s="43" t="s">
        <v>129</v>
      </c>
      <c r="D61" s="24" t="s">
        <v>25</v>
      </c>
      <c r="E61" s="47">
        <f>57495.11/G61</f>
        <v>547.57247619047621</v>
      </c>
      <c r="F61" s="25">
        <v>0</v>
      </c>
      <c r="G61" s="25">
        <v>105</v>
      </c>
      <c r="H61" s="27">
        <f t="shared" si="42"/>
        <v>105</v>
      </c>
      <c r="I61" s="27">
        <f>E61*G61</f>
        <v>57495.11</v>
      </c>
      <c r="J61" s="27"/>
      <c r="K61" s="24"/>
      <c r="L61" s="27">
        <f>E61*F61</f>
        <v>0</v>
      </c>
      <c r="M61" s="27"/>
      <c r="N61" s="24"/>
      <c r="O61" s="27">
        <f t="shared" si="43"/>
        <v>57495.11</v>
      </c>
      <c r="P61" s="27"/>
      <c r="Q61" s="27">
        <f t="shared" si="44"/>
        <v>57495.11</v>
      </c>
      <c r="R61" s="29">
        <f t="shared" si="45"/>
        <v>0</v>
      </c>
      <c r="S61">
        <v>52</v>
      </c>
    </row>
    <row r="62" spans="1:19" ht="18.75" customHeight="1" outlineLevel="1" x14ac:dyDescent="0.25">
      <c r="A62" s="9" t="str">
        <f>$B$59&amp;"."&amp;B62</f>
        <v>5.2.5.2.3</v>
      </c>
      <c r="B62" s="46" t="s">
        <v>130</v>
      </c>
      <c r="C62" s="43" t="s">
        <v>131</v>
      </c>
      <c r="D62" s="24" t="s">
        <v>88</v>
      </c>
      <c r="E62" s="24">
        <v>1</v>
      </c>
      <c r="F62" s="25">
        <v>350</v>
      </c>
      <c r="G62" s="25">
        <v>200</v>
      </c>
      <c r="H62" s="27">
        <f t="shared" si="42"/>
        <v>550</v>
      </c>
      <c r="I62" s="27">
        <f>E62*G62</f>
        <v>200</v>
      </c>
      <c r="J62" s="27"/>
      <c r="K62" s="24"/>
      <c r="L62" s="27">
        <f>E62*F62</f>
        <v>350</v>
      </c>
      <c r="M62" s="27"/>
      <c r="N62" s="24"/>
      <c r="O62" s="27">
        <f t="shared" si="43"/>
        <v>550</v>
      </c>
      <c r="P62" s="27"/>
      <c r="Q62" s="27">
        <f t="shared" si="44"/>
        <v>550</v>
      </c>
      <c r="R62" s="29">
        <f t="shared" si="45"/>
        <v>0</v>
      </c>
      <c r="S62">
        <v>53</v>
      </c>
    </row>
    <row r="63" spans="1:19" ht="18.75" customHeight="1" outlineLevel="1" x14ac:dyDescent="0.25">
      <c r="A63" s="9" t="str">
        <f>$B$59&amp;"."&amp;B63</f>
        <v>5.2.5.2.4</v>
      </c>
      <c r="B63" s="46" t="s">
        <v>132</v>
      </c>
      <c r="C63" s="43" t="s">
        <v>133</v>
      </c>
      <c r="D63" s="24" t="s">
        <v>35</v>
      </c>
      <c r="E63" s="47">
        <v>516.29</v>
      </c>
      <c r="F63" s="25">
        <v>13.23</v>
      </c>
      <c r="G63" s="25">
        <v>5</v>
      </c>
      <c r="H63" s="27">
        <f t="shared" si="42"/>
        <v>18.23</v>
      </c>
      <c r="I63" s="27">
        <f>E63*G63</f>
        <v>2581.4499999999998</v>
      </c>
      <c r="J63" s="27"/>
      <c r="K63" s="24"/>
      <c r="L63" s="27">
        <f>E63*F63</f>
        <v>6830.5167000000001</v>
      </c>
      <c r="M63" s="27"/>
      <c r="N63" s="24"/>
      <c r="O63" s="27">
        <f t="shared" si="43"/>
        <v>9411.9667000000009</v>
      </c>
      <c r="P63" s="27"/>
      <c r="Q63" s="27">
        <f t="shared" si="44"/>
        <v>9411.9667000000009</v>
      </c>
      <c r="R63" s="29">
        <f t="shared" si="45"/>
        <v>0</v>
      </c>
      <c r="S63">
        <v>54</v>
      </c>
    </row>
    <row r="64" spans="1:19" ht="18.75" customHeight="1" outlineLevel="1" thickBot="1" x14ac:dyDescent="0.3">
      <c r="A64" s="9" t="str">
        <f>$B$59&amp;"."&amp;B64</f>
        <v>5.2.5.2.5</v>
      </c>
      <c r="B64" s="46" t="s">
        <v>134</v>
      </c>
      <c r="C64" s="43" t="s">
        <v>135</v>
      </c>
      <c r="D64" s="24" t="s">
        <v>30</v>
      </c>
      <c r="E64" s="24">
        <v>1</v>
      </c>
      <c r="F64" s="25">
        <v>850</v>
      </c>
      <c r="G64" s="25">
        <v>1650</v>
      </c>
      <c r="H64" s="27">
        <f t="shared" si="42"/>
        <v>2500</v>
      </c>
      <c r="I64" s="27">
        <f>E64*G64</f>
        <v>1650</v>
      </c>
      <c r="J64" s="27"/>
      <c r="K64" s="24"/>
      <c r="L64" s="27">
        <f>E64*F64</f>
        <v>850</v>
      </c>
      <c r="M64" s="27"/>
      <c r="N64" s="24"/>
      <c r="O64" s="27">
        <f t="shared" si="43"/>
        <v>2500</v>
      </c>
      <c r="P64" s="27"/>
      <c r="Q64" s="27">
        <f t="shared" si="44"/>
        <v>2500</v>
      </c>
      <c r="R64" s="29">
        <f t="shared" si="45"/>
        <v>0</v>
      </c>
      <c r="S64">
        <v>55</v>
      </c>
    </row>
    <row r="65" spans="1:19" ht="18.75" customHeight="1" thickBot="1" x14ac:dyDescent="0.3">
      <c r="B65" s="17">
        <v>6</v>
      </c>
      <c r="C65" s="100" t="s">
        <v>136</v>
      </c>
      <c r="D65" s="101"/>
      <c r="E65" s="18">
        <f>SUM(E66:E72)</f>
        <v>3086.39</v>
      </c>
      <c r="F65" s="19"/>
      <c r="G65" s="19"/>
      <c r="H65" s="19">
        <f>SUM(H66:H73)</f>
        <v>417.88</v>
      </c>
      <c r="I65" s="19">
        <f>SUM(I66:I73)</f>
        <v>98538.747499999998</v>
      </c>
      <c r="J65" s="19"/>
      <c r="K65" s="20"/>
      <c r="L65" s="19">
        <f>SUM(L66:L73)</f>
        <v>25794.012900000002</v>
      </c>
      <c r="M65" s="19"/>
      <c r="N65" s="20"/>
      <c r="O65" s="19">
        <f>SUM(O66:O73)</f>
        <v>124332.76039999998</v>
      </c>
      <c r="P65" s="19"/>
      <c r="Q65" s="19">
        <f>SUM(Q66:Q73)</f>
        <v>124332.76039999998</v>
      </c>
      <c r="R65" s="21">
        <f>IF(O65=0,0,+Q65/O65-1)</f>
        <v>0</v>
      </c>
      <c r="S65">
        <v>56</v>
      </c>
    </row>
    <row r="66" spans="1:19" ht="18.75" customHeight="1" outlineLevel="1" x14ac:dyDescent="0.25">
      <c r="A66" s="9" t="str">
        <f t="shared" ref="A66:A73" si="46">$B$65&amp;"."&amp;B66</f>
        <v>6.6.1</v>
      </c>
      <c r="B66" s="46" t="s">
        <v>137</v>
      </c>
      <c r="C66" s="43" t="s">
        <v>138</v>
      </c>
      <c r="D66" s="24" t="s">
        <v>25</v>
      </c>
      <c r="E66" s="47">
        <v>792.93</v>
      </c>
      <c r="F66" s="25">
        <v>28.51</v>
      </c>
      <c r="G66" s="25">
        <v>32.65</v>
      </c>
      <c r="H66" s="27">
        <f t="shared" ref="H66:H72" si="47">G66+F66</f>
        <v>61.16</v>
      </c>
      <c r="I66" s="27">
        <f t="shared" ref="I66:I73" si="48">E66*G66</f>
        <v>25889.164499999999</v>
      </c>
      <c r="J66" s="27"/>
      <c r="K66" s="24"/>
      <c r="L66" s="27">
        <f t="shared" ref="L66:L73" si="49">E66*F66</f>
        <v>22606.434300000001</v>
      </c>
      <c r="M66" s="27"/>
      <c r="N66" s="24"/>
      <c r="O66" s="27">
        <f t="shared" si="43"/>
        <v>48495.5988</v>
      </c>
      <c r="P66" s="27"/>
      <c r="Q66" s="27">
        <f t="shared" ref="Q66:Q72" si="50">IF(K66="",I66,J66/K66)+IF(N66="",L66,M66/N66)</f>
        <v>48495.5988</v>
      </c>
      <c r="R66" s="29">
        <f t="shared" ref="R66:R72" si="51">IF(O66=0,0,+Q66/O66-1)</f>
        <v>0</v>
      </c>
      <c r="S66">
        <v>57</v>
      </c>
    </row>
    <row r="67" spans="1:19" ht="18.75" customHeight="1" outlineLevel="1" x14ac:dyDescent="0.25">
      <c r="A67" s="9" t="str">
        <f t="shared" si="46"/>
        <v>6.6.2</v>
      </c>
      <c r="B67" s="46" t="s">
        <v>139</v>
      </c>
      <c r="C67" s="43" t="s">
        <v>140</v>
      </c>
      <c r="D67" s="24" t="s">
        <v>25</v>
      </c>
      <c r="E67" s="47">
        <v>792.93</v>
      </c>
      <c r="F67" s="25">
        <v>4.0199999999999996</v>
      </c>
      <c r="G67" s="25">
        <v>3.5</v>
      </c>
      <c r="H67" s="27">
        <f t="shared" si="47"/>
        <v>7.52</v>
      </c>
      <c r="I67" s="27">
        <f t="shared" si="48"/>
        <v>2775.2549999999997</v>
      </c>
      <c r="J67" s="27"/>
      <c r="K67" s="24"/>
      <c r="L67" s="27">
        <f t="shared" si="49"/>
        <v>3187.5785999999994</v>
      </c>
      <c r="M67" s="27"/>
      <c r="N67" s="24"/>
      <c r="O67" s="27">
        <f t="shared" si="43"/>
        <v>5962.833599999999</v>
      </c>
      <c r="P67" s="27"/>
      <c r="Q67" s="27">
        <f t="shared" si="50"/>
        <v>5962.833599999999</v>
      </c>
      <c r="R67" s="29">
        <f t="shared" si="51"/>
        <v>0</v>
      </c>
      <c r="S67">
        <v>58</v>
      </c>
    </row>
    <row r="68" spans="1:19" ht="18.75" customHeight="1" outlineLevel="1" x14ac:dyDescent="0.25">
      <c r="A68" s="9" t="str">
        <f t="shared" si="46"/>
        <v>6.6.3</v>
      </c>
      <c r="B68" s="46" t="s">
        <v>141</v>
      </c>
      <c r="C68" s="48" t="s">
        <v>142</v>
      </c>
      <c r="D68" s="24" t="s">
        <v>25</v>
      </c>
      <c r="E68" s="47">
        <v>67.319999999999993</v>
      </c>
      <c r="F68" s="25"/>
      <c r="G68" s="25">
        <v>60</v>
      </c>
      <c r="H68" s="27">
        <f t="shared" si="47"/>
        <v>60</v>
      </c>
      <c r="I68" s="27">
        <f t="shared" si="48"/>
        <v>4039.2</v>
      </c>
      <c r="J68" s="27"/>
      <c r="K68" s="24"/>
      <c r="L68" s="27">
        <f t="shared" si="49"/>
        <v>0</v>
      </c>
      <c r="M68" s="27"/>
      <c r="N68" s="24"/>
      <c r="O68" s="27">
        <f t="shared" si="43"/>
        <v>4039.2</v>
      </c>
      <c r="P68" s="27"/>
      <c r="Q68" s="27">
        <f t="shared" si="50"/>
        <v>4039.2</v>
      </c>
      <c r="R68" s="29">
        <f t="shared" si="51"/>
        <v>0</v>
      </c>
      <c r="S68">
        <v>59</v>
      </c>
    </row>
    <row r="69" spans="1:19" ht="18.75" customHeight="1" outlineLevel="1" x14ac:dyDescent="0.25">
      <c r="A69" s="9" t="str">
        <f t="shared" si="46"/>
        <v>6.6.4</v>
      </c>
      <c r="B69" s="46" t="s">
        <v>143</v>
      </c>
      <c r="C69" s="48" t="s">
        <v>144</v>
      </c>
      <c r="D69" s="24" t="s">
        <v>25</v>
      </c>
      <c r="E69" s="47">
        <v>520.27</v>
      </c>
      <c r="F69" s="25"/>
      <c r="G69" s="25">
        <v>60</v>
      </c>
      <c r="H69" s="27">
        <f t="shared" si="47"/>
        <v>60</v>
      </c>
      <c r="I69" s="27">
        <f t="shared" si="48"/>
        <v>31216.199999999997</v>
      </c>
      <c r="J69" s="27"/>
      <c r="K69" s="24"/>
      <c r="L69" s="27">
        <f t="shared" si="49"/>
        <v>0</v>
      </c>
      <c r="M69" s="27"/>
      <c r="N69" s="24"/>
      <c r="O69" s="27">
        <f t="shared" si="43"/>
        <v>31216.199999999997</v>
      </c>
      <c r="P69" s="27"/>
      <c r="Q69" s="27">
        <f t="shared" si="50"/>
        <v>31216.199999999997</v>
      </c>
      <c r="R69" s="29">
        <f t="shared" si="51"/>
        <v>0</v>
      </c>
      <c r="S69">
        <v>60</v>
      </c>
    </row>
    <row r="70" spans="1:19" ht="18.75" customHeight="1" outlineLevel="1" x14ac:dyDescent="0.25">
      <c r="A70" s="9" t="str">
        <f t="shared" si="46"/>
        <v>6.6.5</v>
      </c>
      <c r="B70" s="46" t="s">
        <v>145</v>
      </c>
      <c r="C70" s="43" t="s">
        <v>146</v>
      </c>
      <c r="D70" s="24" t="s">
        <v>35</v>
      </c>
      <c r="E70" s="47">
        <v>188.37</v>
      </c>
      <c r="F70" s="25"/>
      <c r="G70" s="25">
        <v>25</v>
      </c>
      <c r="H70" s="27">
        <f t="shared" si="47"/>
        <v>25</v>
      </c>
      <c r="I70" s="27">
        <f t="shared" si="48"/>
        <v>4709.25</v>
      </c>
      <c r="J70" s="27"/>
      <c r="K70" s="24"/>
      <c r="L70" s="27">
        <f t="shared" si="49"/>
        <v>0</v>
      </c>
      <c r="M70" s="27"/>
      <c r="N70" s="24"/>
      <c r="O70" s="27">
        <f t="shared" si="43"/>
        <v>4709.25</v>
      </c>
      <c r="P70" s="27"/>
      <c r="Q70" s="27">
        <f t="shared" si="50"/>
        <v>4709.25</v>
      </c>
      <c r="R70" s="29">
        <f t="shared" si="51"/>
        <v>0</v>
      </c>
      <c r="S70">
        <v>61</v>
      </c>
    </row>
    <row r="71" spans="1:19" ht="18.75" customHeight="1" outlineLevel="1" x14ac:dyDescent="0.25">
      <c r="A71" s="9" t="str">
        <f t="shared" si="46"/>
        <v>6.6.6</v>
      </c>
      <c r="B71" s="46" t="s">
        <v>147</v>
      </c>
      <c r="C71" s="43" t="s">
        <v>148</v>
      </c>
      <c r="D71" s="24" t="s">
        <v>25</v>
      </c>
      <c r="E71" s="47">
        <v>136.97999999999999</v>
      </c>
      <c r="F71" s="25"/>
      <c r="G71" s="25">
        <v>125</v>
      </c>
      <c r="H71" s="27">
        <f t="shared" si="47"/>
        <v>125</v>
      </c>
      <c r="I71" s="27">
        <f t="shared" si="48"/>
        <v>17122.5</v>
      </c>
      <c r="J71" s="27"/>
      <c r="K71" s="24"/>
      <c r="L71" s="27">
        <f t="shared" si="49"/>
        <v>0</v>
      </c>
      <c r="M71" s="27"/>
      <c r="N71" s="24"/>
      <c r="O71" s="27">
        <f t="shared" si="43"/>
        <v>17122.5</v>
      </c>
      <c r="P71" s="27"/>
      <c r="Q71" s="27">
        <f t="shared" si="50"/>
        <v>17122.5</v>
      </c>
      <c r="R71" s="29">
        <f t="shared" si="51"/>
        <v>0</v>
      </c>
      <c r="S71">
        <v>62</v>
      </c>
    </row>
    <row r="72" spans="1:19" ht="18.75" customHeight="1" outlineLevel="1" x14ac:dyDescent="0.25">
      <c r="A72" s="9" t="str">
        <f t="shared" si="46"/>
        <v>6.6.7</v>
      </c>
      <c r="B72" s="46" t="s">
        <v>149</v>
      </c>
      <c r="C72" s="48" t="s">
        <v>150</v>
      </c>
      <c r="D72" s="24" t="s">
        <v>25</v>
      </c>
      <c r="E72" s="47">
        <v>587.59</v>
      </c>
      <c r="F72" s="25"/>
      <c r="G72" s="25">
        <v>14.2</v>
      </c>
      <c r="H72" s="27">
        <f t="shared" si="47"/>
        <v>14.2</v>
      </c>
      <c r="I72" s="27">
        <f t="shared" si="48"/>
        <v>8343.7780000000002</v>
      </c>
      <c r="J72" s="27"/>
      <c r="K72" s="24"/>
      <c r="L72" s="27">
        <f t="shared" si="49"/>
        <v>0</v>
      </c>
      <c r="M72" s="27"/>
      <c r="N72" s="24"/>
      <c r="O72" s="27">
        <f t="shared" si="43"/>
        <v>8343.7780000000002</v>
      </c>
      <c r="P72" s="27"/>
      <c r="Q72" s="27">
        <f t="shared" si="50"/>
        <v>8343.7780000000002</v>
      </c>
      <c r="R72" s="29">
        <f t="shared" si="51"/>
        <v>0</v>
      </c>
      <c r="S72">
        <v>63</v>
      </c>
    </row>
    <row r="73" spans="1:19" ht="18.75" customHeight="1" outlineLevel="1" thickBot="1" x14ac:dyDescent="0.3">
      <c r="A73" s="9" t="str">
        <f t="shared" si="46"/>
        <v>6.6.8</v>
      </c>
      <c r="B73" s="46" t="s">
        <v>151</v>
      </c>
      <c r="C73" s="43" t="s">
        <v>152</v>
      </c>
      <c r="D73" s="24" t="s">
        <v>25</v>
      </c>
      <c r="E73" s="24">
        <v>68.36</v>
      </c>
      <c r="F73" s="25"/>
      <c r="G73" s="25">
        <v>65</v>
      </c>
      <c r="H73" s="27">
        <f t="shared" ref="H73" si="52">G73+F73</f>
        <v>65</v>
      </c>
      <c r="I73" s="27">
        <f t="shared" si="48"/>
        <v>4443.3999999999996</v>
      </c>
      <c r="J73" s="27"/>
      <c r="K73" s="24"/>
      <c r="L73" s="27">
        <f t="shared" si="49"/>
        <v>0</v>
      </c>
      <c r="M73" s="27"/>
      <c r="N73" s="24"/>
      <c r="O73" s="27">
        <f t="shared" ref="O73" si="53">L73+I73</f>
        <v>4443.3999999999996</v>
      </c>
      <c r="P73" s="27"/>
      <c r="Q73" s="27">
        <f t="shared" ref="Q73" si="54">IF(K73="",I73,J73/K73)+IF(N73="",L73,M73/N73)</f>
        <v>4443.3999999999996</v>
      </c>
      <c r="R73" s="29">
        <f t="shared" ref="R73" si="55">IF(O73=0,0,+Q73/O73-1)</f>
        <v>0</v>
      </c>
      <c r="S73">
        <v>64</v>
      </c>
    </row>
    <row r="74" spans="1:19" ht="18.75" customHeight="1" thickBot="1" x14ac:dyDescent="0.3">
      <c r="B74" s="17" t="s">
        <v>153</v>
      </c>
      <c r="C74" s="100" t="s">
        <v>154</v>
      </c>
      <c r="D74" s="101"/>
      <c r="E74" s="18">
        <f t="shared" ref="E74:H74" si="56">SUM(E75:E76)</f>
        <v>42.260000000000005</v>
      </c>
      <c r="F74" s="19"/>
      <c r="G74" s="19"/>
      <c r="H74" s="19">
        <f t="shared" si="56"/>
        <v>101</v>
      </c>
      <c r="I74" s="19">
        <f>SUM(I75:I76)</f>
        <v>1413.75</v>
      </c>
      <c r="J74" s="19"/>
      <c r="K74" s="20"/>
      <c r="L74" s="19">
        <f>SUM(L75:L76)</f>
        <v>712.32</v>
      </c>
      <c r="M74" s="19"/>
      <c r="N74" s="20"/>
      <c r="O74" s="19">
        <f>SUM(O75:O76)</f>
        <v>2126.0700000000002</v>
      </c>
      <c r="P74" s="19"/>
      <c r="Q74" s="19">
        <f>SUM(Q75:Q76)</f>
        <v>2126.0700000000002</v>
      </c>
      <c r="R74" s="21">
        <f>IF(O74=0,0,+Q74/O74-1)</f>
        <v>0</v>
      </c>
      <c r="S74">
        <v>65</v>
      </c>
    </row>
    <row r="75" spans="1:19" ht="18.75" customHeight="1" outlineLevel="1" x14ac:dyDescent="0.25">
      <c r="A75" s="9" t="str">
        <f>$B$74&amp;"."&amp;B75</f>
        <v>7.1.7.1.1</v>
      </c>
      <c r="B75" s="46" t="s">
        <v>155</v>
      </c>
      <c r="C75" s="43" t="s">
        <v>156</v>
      </c>
      <c r="D75" s="24" t="s">
        <v>35</v>
      </c>
      <c r="E75" s="47">
        <v>13.07</v>
      </c>
      <c r="F75" s="25">
        <v>21</v>
      </c>
      <c r="G75" s="25">
        <v>30</v>
      </c>
      <c r="H75" s="27">
        <f t="shared" ref="H75:H76" si="57">G75+F75</f>
        <v>51</v>
      </c>
      <c r="I75" s="27">
        <f>E75*G75</f>
        <v>392.1</v>
      </c>
      <c r="J75" s="27"/>
      <c r="K75" s="24"/>
      <c r="L75" s="27">
        <f>E75*F75</f>
        <v>274.47000000000003</v>
      </c>
      <c r="M75" s="27"/>
      <c r="N75" s="24"/>
      <c r="O75" s="27">
        <f t="shared" si="43"/>
        <v>666.57</v>
      </c>
      <c r="P75" s="27"/>
      <c r="Q75" s="27">
        <f t="shared" ref="Q75:Q76" si="58">IF(K75="",I75,J75/K75)+IF(N75="",L75,M75/N75)</f>
        <v>666.57</v>
      </c>
      <c r="R75" s="29">
        <f t="shared" ref="R75:R76" si="59">IF(O75=0,0,+Q75/O75-1)</f>
        <v>0</v>
      </c>
      <c r="S75">
        <v>66</v>
      </c>
    </row>
    <row r="76" spans="1:19" ht="18.75" customHeight="1" outlineLevel="1" thickBot="1" x14ac:dyDescent="0.3">
      <c r="A76" s="9" t="str">
        <f>$B$74&amp;"."&amp;B76</f>
        <v>7.1.7.1.2</v>
      </c>
      <c r="B76" s="46" t="s">
        <v>157</v>
      </c>
      <c r="C76" s="43" t="s">
        <v>158</v>
      </c>
      <c r="D76" s="24" t="s">
        <v>35</v>
      </c>
      <c r="E76" s="47">
        <v>29.19</v>
      </c>
      <c r="F76" s="25">
        <v>15</v>
      </c>
      <c r="G76" s="25">
        <v>35</v>
      </c>
      <c r="H76" s="27">
        <f t="shared" si="57"/>
        <v>50</v>
      </c>
      <c r="I76" s="27">
        <f>E76*G76</f>
        <v>1021.6500000000001</v>
      </c>
      <c r="J76" s="27"/>
      <c r="K76" s="24"/>
      <c r="L76" s="27">
        <f>E76*F76</f>
        <v>437.85</v>
      </c>
      <c r="M76" s="27"/>
      <c r="N76" s="24"/>
      <c r="O76" s="27">
        <f t="shared" si="43"/>
        <v>1459.5</v>
      </c>
      <c r="P76" s="27"/>
      <c r="Q76" s="27">
        <f t="shared" si="58"/>
        <v>1459.5</v>
      </c>
      <c r="R76" s="29">
        <f t="shared" si="59"/>
        <v>0</v>
      </c>
      <c r="S76">
        <v>67</v>
      </c>
    </row>
    <row r="77" spans="1:19" ht="18.75" customHeight="1" thickBot="1" x14ac:dyDescent="0.3">
      <c r="B77" s="17" t="s">
        <v>159</v>
      </c>
      <c r="C77" s="100" t="s">
        <v>160</v>
      </c>
      <c r="D77" s="101"/>
      <c r="E77" s="18">
        <f>SUM(E78:E80)</f>
        <v>86.39</v>
      </c>
      <c r="F77" s="19"/>
      <c r="G77" s="19"/>
      <c r="H77" s="19">
        <f t="shared" ref="H77" si="60">SUM(H78:H80)</f>
        <v>325</v>
      </c>
      <c r="I77" s="19">
        <f>SUM(I78:I80)</f>
        <v>13879.35</v>
      </c>
      <c r="J77" s="19"/>
      <c r="K77" s="20"/>
      <c r="L77" s="19">
        <f>SUM(L78:L80)</f>
        <v>1959.75</v>
      </c>
      <c r="M77" s="19"/>
      <c r="N77" s="20"/>
      <c r="O77" s="19">
        <f t="shared" ref="O77:Q77" si="61">SUM(O78:O80)</f>
        <v>15839.1</v>
      </c>
      <c r="P77" s="19"/>
      <c r="Q77" s="19">
        <f t="shared" si="61"/>
        <v>15839.1</v>
      </c>
      <c r="R77" s="21">
        <f>IF(O77=0,0,+Q77/O77-1)</f>
        <v>0</v>
      </c>
      <c r="S77">
        <v>68</v>
      </c>
    </row>
    <row r="78" spans="1:19" ht="18.75" customHeight="1" outlineLevel="1" x14ac:dyDescent="0.25">
      <c r="A78" s="9" t="str">
        <f>$B$77&amp;"."&amp;B78</f>
        <v>7.2.7.2.1</v>
      </c>
      <c r="B78" s="46" t="s">
        <v>161</v>
      </c>
      <c r="C78" s="43" t="s">
        <v>162</v>
      </c>
      <c r="D78" s="24" t="s">
        <v>35</v>
      </c>
      <c r="E78" s="47">
        <v>78.39</v>
      </c>
      <c r="F78" s="25">
        <v>25</v>
      </c>
      <c r="G78" s="25">
        <v>165</v>
      </c>
      <c r="H78" s="27">
        <f t="shared" ref="H78:H79" si="62">G78+F78</f>
        <v>190</v>
      </c>
      <c r="I78" s="27">
        <f>E78*G78</f>
        <v>12934.35</v>
      </c>
      <c r="J78" s="27"/>
      <c r="K78" s="24"/>
      <c r="L78" s="27">
        <f>E78*F78</f>
        <v>1959.75</v>
      </c>
      <c r="M78" s="27"/>
      <c r="N78" s="24"/>
      <c r="O78" s="27">
        <f t="shared" si="43"/>
        <v>14894.1</v>
      </c>
      <c r="P78" s="27"/>
      <c r="Q78" s="27">
        <f t="shared" ref="Q78:Q80" si="63">IF(K78="",I78,J78/K78)+IF(N78="",L78,M78/N78)</f>
        <v>14894.1</v>
      </c>
      <c r="R78" s="29">
        <f t="shared" ref="R78:R80" si="64">IF(O78=0,0,+Q78/O78-1)</f>
        <v>0</v>
      </c>
      <c r="S78">
        <v>69</v>
      </c>
    </row>
    <row r="79" spans="1:19" ht="18.75" customHeight="1" outlineLevel="1" x14ac:dyDescent="0.25">
      <c r="A79" s="9" t="str">
        <f>$B$77&amp;"."&amp;B79</f>
        <v>7.2.7.2.2</v>
      </c>
      <c r="B79" s="46" t="s">
        <v>163</v>
      </c>
      <c r="C79" s="43" t="s">
        <v>164</v>
      </c>
      <c r="D79" s="24" t="s">
        <v>30</v>
      </c>
      <c r="E79" s="24">
        <v>1</v>
      </c>
      <c r="F79" s="25">
        <v>0</v>
      </c>
      <c r="G79" s="25"/>
      <c r="H79" s="27">
        <f t="shared" si="62"/>
        <v>0</v>
      </c>
      <c r="I79" s="27">
        <f>E79*G79</f>
        <v>0</v>
      </c>
      <c r="J79" s="27"/>
      <c r="K79" s="24"/>
      <c r="L79" s="27">
        <f>E79*F79</f>
        <v>0</v>
      </c>
      <c r="M79" s="27"/>
      <c r="N79" s="24"/>
      <c r="O79" s="27">
        <f t="shared" si="43"/>
        <v>0</v>
      </c>
      <c r="P79" s="27"/>
      <c r="Q79" s="27">
        <f t="shared" si="63"/>
        <v>0</v>
      </c>
      <c r="R79" s="29">
        <f t="shared" si="64"/>
        <v>0</v>
      </c>
      <c r="S79">
        <v>70</v>
      </c>
    </row>
    <row r="80" spans="1:19" ht="18.75" customHeight="1" outlineLevel="1" thickBot="1" x14ac:dyDescent="0.3">
      <c r="A80" s="9" t="str">
        <f>$B$77&amp;"."&amp;B80</f>
        <v>7.2.7.2.3</v>
      </c>
      <c r="B80" s="46" t="s">
        <v>165</v>
      </c>
      <c r="C80" s="43" t="s">
        <v>166</v>
      </c>
      <c r="D80" s="24" t="s">
        <v>88</v>
      </c>
      <c r="E80" s="24">
        <v>7</v>
      </c>
      <c r="F80" s="25"/>
      <c r="G80" s="25">
        <v>135</v>
      </c>
      <c r="H80" s="27">
        <f>G80+F80</f>
        <v>135</v>
      </c>
      <c r="I80" s="27">
        <f>E80*G80</f>
        <v>945</v>
      </c>
      <c r="J80" s="27"/>
      <c r="K80" s="24"/>
      <c r="L80" s="27">
        <f>E80*F80</f>
        <v>0</v>
      </c>
      <c r="M80" s="27"/>
      <c r="N80" s="24"/>
      <c r="O80" s="27">
        <f t="shared" si="43"/>
        <v>945</v>
      </c>
      <c r="P80" s="27"/>
      <c r="Q80" s="27">
        <f t="shared" si="63"/>
        <v>945</v>
      </c>
      <c r="R80" s="29">
        <f t="shared" si="64"/>
        <v>0</v>
      </c>
      <c r="S80">
        <v>71</v>
      </c>
    </row>
    <row r="81" spans="1:19" ht="18.75" customHeight="1" thickBot="1" x14ac:dyDescent="0.3">
      <c r="B81" s="17">
        <v>8</v>
      </c>
      <c r="C81" s="100" t="s">
        <v>167</v>
      </c>
      <c r="D81" s="101"/>
      <c r="E81" s="18">
        <f t="shared" ref="E81:H81" si="65">SUM(E82:E84)</f>
        <v>3</v>
      </c>
      <c r="F81" s="19"/>
      <c r="G81" s="19"/>
      <c r="H81" s="19">
        <f t="shared" si="65"/>
        <v>3606</v>
      </c>
      <c r="I81" s="19">
        <f>SUM(I82:I84)</f>
        <v>4339</v>
      </c>
      <c r="J81" s="19"/>
      <c r="K81" s="20"/>
      <c r="L81" s="19">
        <f>SUM(L82:L84)</f>
        <v>956</v>
      </c>
      <c r="M81" s="19"/>
      <c r="N81" s="20"/>
      <c r="O81" s="19">
        <f>SUM(O82:O84)</f>
        <v>5295</v>
      </c>
      <c r="P81" s="19"/>
      <c r="Q81" s="19">
        <f>SUM(Q82:Q84)</f>
        <v>5295</v>
      </c>
      <c r="R81" s="21">
        <f>IF(O81=0,0,+Q81/O81-1)</f>
        <v>0</v>
      </c>
      <c r="S81">
        <v>72</v>
      </c>
    </row>
    <row r="82" spans="1:19" ht="18.75" customHeight="1" outlineLevel="1" x14ac:dyDescent="0.25">
      <c r="A82" s="9" t="str">
        <f>$B$81&amp;"."&amp;B82</f>
        <v>8.8.1</v>
      </c>
      <c r="B82" s="46" t="s">
        <v>168</v>
      </c>
      <c r="C82" s="43" t="s">
        <v>169</v>
      </c>
      <c r="D82" s="24" t="s">
        <v>30</v>
      </c>
      <c r="E82" s="24">
        <v>1</v>
      </c>
      <c r="F82" s="25">
        <v>956</v>
      </c>
      <c r="G82" s="25">
        <v>2650</v>
      </c>
      <c r="H82" s="27">
        <f>F82+G82</f>
        <v>3606</v>
      </c>
      <c r="I82" s="27">
        <f>E82*G82</f>
        <v>2650</v>
      </c>
      <c r="J82" s="27"/>
      <c r="K82" s="24"/>
      <c r="L82" s="27">
        <f>E82*F82</f>
        <v>956</v>
      </c>
      <c r="M82" s="27"/>
      <c r="N82" s="24"/>
      <c r="O82" s="27">
        <f t="shared" si="43"/>
        <v>3606</v>
      </c>
      <c r="P82" s="27"/>
      <c r="Q82" s="27">
        <f t="shared" ref="Q82:Q83" si="66">IF(K82="",I82,J82/K82)+IF(N82="",L82,M82/N82)</f>
        <v>3606</v>
      </c>
      <c r="R82" s="29">
        <f t="shared" ref="R82:R83" si="67">IF(O82=0,0,+Q82/O82-1)</f>
        <v>0</v>
      </c>
      <c r="S82">
        <v>73</v>
      </c>
    </row>
    <row r="83" spans="1:19" ht="18.75" customHeight="1" outlineLevel="1" x14ac:dyDescent="0.25">
      <c r="A83" s="9" t="str">
        <f>$B$81&amp;"."&amp;B83</f>
        <v>8.8.2</v>
      </c>
      <c r="B83" s="46" t="s">
        <v>170</v>
      </c>
      <c r="C83" s="43" t="s">
        <v>171</v>
      </c>
      <c r="D83" s="24" t="s">
        <v>30</v>
      </c>
      <c r="E83" s="24">
        <v>1</v>
      </c>
      <c r="F83" s="25">
        <v>0</v>
      </c>
      <c r="G83" s="25"/>
      <c r="H83" s="27">
        <f>F83+G83</f>
        <v>0</v>
      </c>
      <c r="I83" s="27">
        <f>E83*G83</f>
        <v>0</v>
      </c>
      <c r="J83" s="27"/>
      <c r="K83" s="24"/>
      <c r="L83" s="27">
        <f>E83*F83</f>
        <v>0</v>
      </c>
      <c r="M83" s="27"/>
      <c r="N83" s="24"/>
      <c r="O83" s="27">
        <f t="shared" si="43"/>
        <v>0</v>
      </c>
      <c r="P83" s="27"/>
      <c r="Q83" s="27">
        <f t="shared" si="66"/>
        <v>0</v>
      </c>
      <c r="R83" s="29">
        <f t="shared" si="67"/>
        <v>0</v>
      </c>
      <c r="S83">
        <v>74</v>
      </c>
    </row>
    <row r="84" spans="1:19" ht="18.75" customHeight="1" outlineLevel="1" thickBot="1" x14ac:dyDescent="0.3">
      <c r="A84" s="9" t="str">
        <f>$B$81&amp;"."&amp;B84</f>
        <v>8.8.3</v>
      </c>
      <c r="B84" s="46" t="s">
        <v>172</v>
      </c>
      <c r="C84" s="43" t="s">
        <v>173</v>
      </c>
      <c r="D84" s="24" t="s">
        <v>30</v>
      </c>
      <c r="E84" s="24">
        <v>1</v>
      </c>
      <c r="F84" s="25"/>
      <c r="G84" s="25">
        <v>1689</v>
      </c>
      <c r="H84" s="27">
        <v>0</v>
      </c>
      <c r="I84" s="27">
        <f>E84*G84</f>
        <v>1689</v>
      </c>
      <c r="J84" s="27"/>
      <c r="K84" s="24"/>
      <c r="L84" s="27">
        <f>E84*F84</f>
        <v>0</v>
      </c>
      <c r="M84" s="27"/>
      <c r="N84" s="24"/>
      <c r="O84" s="27">
        <f t="shared" ref="O84" si="68">L84+I84</f>
        <v>1689</v>
      </c>
      <c r="P84" s="27"/>
      <c r="Q84" s="27">
        <f t="shared" ref="Q84" si="69">IF(K84="",I84,J84/K84)+IF(N84="",L84,M84/N84)</f>
        <v>1689</v>
      </c>
      <c r="R84" s="29">
        <f t="shared" ref="R84" si="70">IF(O84=0,0,+Q84/O84-1)</f>
        <v>0</v>
      </c>
      <c r="S84">
        <v>75</v>
      </c>
    </row>
    <row r="85" spans="1:19" ht="18.75" customHeight="1" thickBot="1" x14ac:dyDescent="0.3">
      <c r="B85" s="17">
        <v>9</v>
      </c>
      <c r="C85" s="100" t="s">
        <v>174</v>
      </c>
      <c r="D85" s="101"/>
      <c r="E85" s="18">
        <f>SUM(E86:E89)</f>
        <v>1308.1655000000001</v>
      </c>
      <c r="F85" s="19"/>
      <c r="G85" s="19"/>
      <c r="H85" s="19">
        <f>SUM(H86:H89)</f>
        <v>287.53999999999996</v>
      </c>
      <c r="I85" s="19">
        <f>SUM(I86:I89)</f>
        <v>42479.170570000002</v>
      </c>
      <c r="J85" s="19"/>
      <c r="K85" s="20"/>
      <c r="L85" s="19">
        <f>SUM(L86:L89)</f>
        <v>48922.229500000001</v>
      </c>
      <c r="M85" s="19"/>
      <c r="N85" s="20"/>
      <c r="O85" s="19">
        <f>SUM(O86:O89)</f>
        <v>91401.400070000003</v>
      </c>
      <c r="P85" s="19"/>
      <c r="Q85" s="19">
        <f>SUM(Q86:Q89)</f>
        <v>91401.400070000003</v>
      </c>
      <c r="R85" s="21">
        <f>IF(O85=0,0,+Q85/O85-1)</f>
        <v>0</v>
      </c>
      <c r="S85">
        <v>76</v>
      </c>
    </row>
    <row r="86" spans="1:19" ht="18.75" customHeight="1" outlineLevel="1" x14ac:dyDescent="0.25">
      <c r="A86" s="9" t="str">
        <f>$B$85&amp;"."&amp;B86</f>
        <v>9.9.1</v>
      </c>
      <c r="B86" s="46" t="s">
        <v>175</v>
      </c>
      <c r="C86" s="43" t="s">
        <v>176</v>
      </c>
      <c r="D86" s="24" t="s">
        <v>25</v>
      </c>
      <c r="E86" s="47">
        <v>142.26</v>
      </c>
      <c r="F86" s="25">
        <v>49</v>
      </c>
      <c r="G86" s="25">
        <v>48.56</v>
      </c>
      <c r="H86" s="27">
        <f t="shared" ref="H86:H89" si="71">G86+F86</f>
        <v>97.56</v>
      </c>
      <c r="I86" s="27">
        <f>E86*G86</f>
        <v>6908.1455999999998</v>
      </c>
      <c r="J86" s="27"/>
      <c r="K86" s="24"/>
      <c r="L86" s="27">
        <f>E86*F86</f>
        <v>6970.74</v>
      </c>
      <c r="M86" s="27"/>
      <c r="N86" s="24"/>
      <c r="O86" s="27">
        <f t="shared" si="43"/>
        <v>13878.8856</v>
      </c>
      <c r="P86" s="27"/>
      <c r="Q86" s="27">
        <f>IF(K86="",I86,J86/K86)+IF(N86="",L86,M86/N86)</f>
        <v>13878.8856</v>
      </c>
      <c r="R86" s="29">
        <f t="shared" ref="R86:R89" si="72">IF(O86=0,0,+Q86/O86-1)</f>
        <v>0</v>
      </c>
      <c r="S86">
        <v>77</v>
      </c>
    </row>
    <row r="87" spans="1:19" ht="18.75" customHeight="1" outlineLevel="1" x14ac:dyDescent="0.25">
      <c r="A87" s="9" t="str">
        <f>$B$85&amp;"."&amp;B87</f>
        <v>9.9.2</v>
      </c>
      <c r="B87" s="46" t="s">
        <v>177</v>
      </c>
      <c r="C87" s="43" t="s">
        <v>178</v>
      </c>
      <c r="D87" s="24" t="s">
        <v>25</v>
      </c>
      <c r="E87" s="47">
        <v>139.15</v>
      </c>
      <c r="F87" s="25">
        <v>35</v>
      </c>
      <c r="G87" s="25">
        <v>21.45</v>
      </c>
      <c r="H87" s="27">
        <f t="shared" si="71"/>
        <v>56.45</v>
      </c>
      <c r="I87" s="27">
        <f>E87*G87</f>
        <v>2984.7674999999999</v>
      </c>
      <c r="J87" s="27"/>
      <c r="K87" s="24"/>
      <c r="L87" s="27">
        <f>E87*F87</f>
        <v>4870.25</v>
      </c>
      <c r="M87" s="27"/>
      <c r="N87" s="24"/>
      <c r="O87" s="27">
        <f t="shared" si="43"/>
        <v>7855.0174999999999</v>
      </c>
      <c r="P87" s="27"/>
      <c r="Q87" s="27">
        <f t="shared" ref="Q87:Q89" si="73">IF(K87="",I87,J87/K87)+IF(N87="",L87,M87/N87)</f>
        <v>7855.0174999999999</v>
      </c>
      <c r="R87" s="29">
        <f t="shared" si="72"/>
        <v>0</v>
      </c>
      <c r="S87">
        <v>78</v>
      </c>
    </row>
    <row r="88" spans="1:19" ht="18.75" customHeight="1" outlineLevel="1" x14ac:dyDescent="0.25">
      <c r="A88" s="9" t="str">
        <f>$B$85&amp;"."&amp;B88</f>
        <v>9.9.3</v>
      </c>
      <c r="B88" s="46" t="s">
        <v>179</v>
      </c>
      <c r="C88" s="43" t="s">
        <v>180</v>
      </c>
      <c r="D88" s="24" t="s">
        <v>25</v>
      </c>
      <c r="E88" s="47">
        <v>381.59899999999999</v>
      </c>
      <c r="F88" s="25">
        <v>38</v>
      </c>
      <c r="G88" s="25">
        <v>24.53</v>
      </c>
      <c r="H88" s="27">
        <f t="shared" si="71"/>
        <v>62.53</v>
      </c>
      <c r="I88" s="27">
        <f>E88*G88</f>
        <v>9360.6234700000005</v>
      </c>
      <c r="J88" s="27"/>
      <c r="K88" s="24"/>
      <c r="L88" s="27">
        <f>E88*F88</f>
        <v>14500.761999999999</v>
      </c>
      <c r="M88" s="27"/>
      <c r="N88" s="24"/>
      <c r="O88" s="27">
        <f t="shared" si="43"/>
        <v>23861.385470000001</v>
      </c>
      <c r="P88" s="27"/>
      <c r="Q88" s="27">
        <f t="shared" si="73"/>
        <v>23861.385470000001</v>
      </c>
      <c r="R88" s="29">
        <f t="shared" si="72"/>
        <v>0</v>
      </c>
      <c r="S88">
        <v>79</v>
      </c>
    </row>
    <row r="89" spans="1:19" ht="18.75" customHeight="1" outlineLevel="1" thickBot="1" x14ac:dyDescent="0.3">
      <c r="A89" s="9" t="str">
        <f>$B$85&amp;"."&amp;B89</f>
        <v>9.9.4</v>
      </c>
      <c r="B89" s="46" t="s">
        <v>181</v>
      </c>
      <c r="C89" s="43" t="s">
        <v>182</v>
      </c>
      <c r="D89" s="24" t="s">
        <v>25</v>
      </c>
      <c r="E89" s="47">
        <v>645.15650000000005</v>
      </c>
      <c r="F89" s="25">
        <v>35</v>
      </c>
      <c r="G89" s="25">
        <v>36</v>
      </c>
      <c r="H89" s="27">
        <f t="shared" si="71"/>
        <v>71</v>
      </c>
      <c r="I89" s="27">
        <f>E89*G89</f>
        <v>23225.634000000002</v>
      </c>
      <c r="J89" s="27"/>
      <c r="K89" s="24"/>
      <c r="L89" s="27">
        <f>E89*F89</f>
        <v>22580.477500000001</v>
      </c>
      <c r="M89" s="27"/>
      <c r="N89" s="24"/>
      <c r="O89" s="27">
        <f t="shared" si="43"/>
        <v>45806.111499999999</v>
      </c>
      <c r="P89" s="27"/>
      <c r="Q89" s="27">
        <f t="shared" si="73"/>
        <v>45806.111499999999</v>
      </c>
      <c r="R89" s="29">
        <f t="shared" si="72"/>
        <v>0</v>
      </c>
      <c r="S89">
        <v>80</v>
      </c>
    </row>
    <row r="90" spans="1:19" ht="18.75" customHeight="1" thickBot="1" x14ac:dyDescent="0.3">
      <c r="B90" s="17">
        <v>10</v>
      </c>
      <c r="C90" s="100" t="s">
        <v>183</v>
      </c>
      <c r="D90" s="101"/>
      <c r="E90" s="18">
        <f>SUM(E91:E93)</f>
        <v>835.548</v>
      </c>
      <c r="F90" s="19"/>
      <c r="G90" s="19"/>
      <c r="H90" s="19">
        <f>SUM(H91:H93)</f>
        <v>728.56</v>
      </c>
      <c r="I90" s="19">
        <f>SUM(I91:I93)</f>
        <v>74168.864000000001</v>
      </c>
      <c r="J90" s="19"/>
      <c r="K90" s="20"/>
      <c r="L90" s="19">
        <f>SUM(L91:L93)</f>
        <v>109457.06408000001</v>
      </c>
      <c r="M90" s="19"/>
      <c r="N90" s="20"/>
      <c r="O90" s="19">
        <f>SUM(O91:O93)</f>
        <v>183625.92808000001</v>
      </c>
      <c r="P90" s="19"/>
      <c r="Q90" s="19">
        <f>SUM(Q91:Q93)</f>
        <v>183625.92808000001</v>
      </c>
      <c r="R90" s="21">
        <f>IF(O90=0,0,+Q90/O90-1)</f>
        <v>0</v>
      </c>
      <c r="S90">
        <v>81</v>
      </c>
    </row>
    <row r="91" spans="1:19" ht="18.75" customHeight="1" outlineLevel="1" x14ac:dyDescent="0.25">
      <c r="A91" s="9" t="str">
        <f>$B$90&amp;"."&amp;B91</f>
        <v>10.10.1</v>
      </c>
      <c r="B91" s="46" t="s">
        <v>184</v>
      </c>
      <c r="C91" s="43" t="s">
        <v>185</v>
      </c>
      <c r="D91" s="24" t="s">
        <v>25</v>
      </c>
      <c r="E91" s="47">
        <v>330.68</v>
      </c>
      <c r="F91" s="25">
        <v>175</v>
      </c>
      <c r="G91" s="25">
        <v>110</v>
      </c>
      <c r="H91" s="27">
        <f t="shared" ref="H91:H93" si="74">G91+F91</f>
        <v>285</v>
      </c>
      <c r="I91" s="27">
        <f>E91*G91</f>
        <v>36374.800000000003</v>
      </c>
      <c r="J91" s="27"/>
      <c r="K91" s="24"/>
      <c r="L91" s="27">
        <f>E91*F91</f>
        <v>57869</v>
      </c>
      <c r="M91" s="27"/>
      <c r="N91" s="24"/>
      <c r="O91" s="27">
        <f t="shared" si="43"/>
        <v>94243.8</v>
      </c>
      <c r="P91" s="27"/>
      <c r="Q91" s="27">
        <f t="shared" ref="Q91:Q93" si="75">IF(K91="",I91,J91/K91)+IF(N91="",L91,M91/N91)</f>
        <v>94243.8</v>
      </c>
      <c r="R91" s="29">
        <f t="shared" ref="R91:R93" si="76">IF(O91=0,0,+Q91/O91-1)</f>
        <v>0</v>
      </c>
      <c r="S91">
        <v>82</v>
      </c>
    </row>
    <row r="92" spans="1:19" ht="18.75" customHeight="1" outlineLevel="1" x14ac:dyDescent="0.25">
      <c r="A92" s="9" t="str">
        <f>$B$90&amp;"."&amp;B92</f>
        <v>10.10.2</v>
      </c>
      <c r="B92" s="46" t="s">
        <v>186</v>
      </c>
      <c r="C92" s="43" t="s">
        <v>187</v>
      </c>
      <c r="D92" s="24" t="s">
        <v>25</v>
      </c>
      <c r="E92" s="47">
        <v>58.45</v>
      </c>
      <c r="F92" s="25">
        <v>0</v>
      </c>
      <c r="G92" s="25">
        <v>280</v>
      </c>
      <c r="H92" s="27">
        <f t="shared" si="74"/>
        <v>280</v>
      </c>
      <c r="I92" s="27">
        <f>E92*G92</f>
        <v>16366</v>
      </c>
      <c r="J92" s="27"/>
      <c r="K92" s="24"/>
      <c r="L92" s="27">
        <f>E92*F92</f>
        <v>0</v>
      </c>
      <c r="M92" s="27"/>
      <c r="N92" s="24"/>
      <c r="O92" s="27">
        <f t="shared" si="43"/>
        <v>16366</v>
      </c>
      <c r="P92" s="27"/>
      <c r="Q92" s="27">
        <f t="shared" si="75"/>
        <v>16366</v>
      </c>
      <c r="R92" s="29">
        <f t="shared" si="76"/>
        <v>0</v>
      </c>
      <c r="S92">
        <v>83</v>
      </c>
    </row>
    <row r="93" spans="1:19" ht="18.75" customHeight="1" outlineLevel="1" thickBot="1" x14ac:dyDescent="0.3">
      <c r="A93" s="9" t="str">
        <f>$B$90&amp;"."&amp;B93</f>
        <v>10.10.3</v>
      </c>
      <c r="B93" s="46" t="s">
        <v>188</v>
      </c>
      <c r="C93" s="48" t="s">
        <v>189</v>
      </c>
      <c r="D93" s="24" t="s">
        <v>25</v>
      </c>
      <c r="E93" s="47">
        <v>446.41800000000006</v>
      </c>
      <c r="F93" s="25">
        <v>115.56</v>
      </c>
      <c r="G93" s="25">
        <v>48</v>
      </c>
      <c r="H93" s="27">
        <f t="shared" si="74"/>
        <v>163.56</v>
      </c>
      <c r="I93" s="27">
        <f>E93*G93</f>
        <v>21428.064000000002</v>
      </c>
      <c r="J93" s="27"/>
      <c r="K93" s="24"/>
      <c r="L93" s="27">
        <f>E93*F93</f>
        <v>51588.064080000011</v>
      </c>
      <c r="M93" s="27"/>
      <c r="N93" s="24"/>
      <c r="O93" s="27">
        <f t="shared" si="43"/>
        <v>73016.12808000001</v>
      </c>
      <c r="P93" s="27"/>
      <c r="Q93" s="27">
        <f t="shared" si="75"/>
        <v>73016.12808000001</v>
      </c>
      <c r="R93" s="29">
        <f t="shared" si="76"/>
        <v>0</v>
      </c>
      <c r="S93">
        <v>84</v>
      </c>
    </row>
    <row r="94" spans="1:19" ht="18.75" customHeight="1" thickBot="1" x14ac:dyDescent="0.3">
      <c r="B94" s="17">
        <v>11</v>
      </c>
      <c r="C94" s="100" t="s">
        <v>190</v>
      </c>
      <c r="D94" s="101"/>
      <c r="E94" s="18">
        <f>SUM(E95:E106)</f>
        <v>1036</v>
      </c>
      <c r="F94" s="19"/>
      <c r="G94" s="19"/>
      <c r="H94" s="19">
        <f>SUM(H95:H106)</f>
        <v>66815.509999999995</v>
      </c>
      <c r="I94" s="19">
        <f>SUM(I95:I106)</f>
        <v>16024</v>
      </c>
      <c r="J94" s="19"/>
      <c r="K94" s="20"/>
      <c r="L94" s="19">
        <f>SUM(L95:L106)</f>
        <v>93910.5</v>
      </c>
      <c r="M94" s="19"/>
      <c r="N94" s="20"/>
      <c r="O94" s="19">
        <f>SUM(O95:O106)</f>
        <v>109934.5</v>
      </c>
      <c r="P94" s="19"/>
      <c r="Q94" s="19">
        <f>SUM(Q95:Q106)</f>
        <v>109934.5</v>
      </c>
      <c r="R94" s="21">
        <f>IF(O94=0,0,+Q94/O94-1)</f>
        <v>0</v>
      </c>
      <c r="S94">
        <v>85</v>
      </c>
    </row>
    <row r="95" spans="1:19" ht="18.75" customHeight="1" outlineLevel="1" x14ac:dyDescent="0.25">
      <c r="A95" s="9" t="str">
        <f t="shared" ref="A95:A107" si="77">$B$94&amp;"."&amp;B95</f>
        <v>11.11.1</v>
      </c>
      <c r="B95" s="46" t="s">
        <v>191</v>
      </c>
      <c r="C95" s="43" t="s">
        <v>192</v>
      </c>
      <c r="D95" s="24" t="s">
        <v>193</v>
      </c>
      <c r="E95" s="24">
        <v>14</v>
      </c>
      <c r="F95" s="25">
        <v>154.75</v>
      </c>
      <c r="G95" s="25">
        <v>456</v>
      </c>
      <c r="H95" s="27">
        <f t="shared" ref="H95:H106" si="78">G95+F95</f>
        <v>610.75</v>
      </c>
      <c r="I95" s="27">
        <f>E95*G95+(1000)</f>
        <v>7384</v>
      </c>
      <c r="J95" s="27"/>
      <c r="K95" s="24"/>
      <c r="L95" s="27">
        <f t="shared" ref="L95:L106" si="79">E95*F95</f>
        <v>2166.5</v>
      </c>
      <c r="M95" s="27"/>
      <c r="N95" s="24"/>
      <c r="O95" s="27">
        <f>L95+I95</f>
        <v>9550.5</v>
      </c>
      <c r="P95" s="27"/>
      <c r="Q95" s="27">
        <f t="shared" ref="Q95:Q106" si="80">IF(K95="",I95,J95/K95)+IF(N95="",L95,M95/N95)</f>
        <v>9550.5</v>
      </c>
      <c r="R95" s="29">
        <f t="shared" ref="R95:R106" si="81">IF(O95=0,0,+Q95/O95-1)</f>
        <v>0</v>
      </c>
      <c r="S95">
        <v>86</v>
      </c>
    </row>
    <row r="96" spans="1:19" ht="18.75" customHeight="1" outlineLevel="1" x14ac:dyDescent="0.25">
      <c r="A96" s="9" t="str">
        <f t="shared" si="77"/>
        <v>11.11.2</v>
      </c>
      <c r="B96" s="46" t="s">
        <v>194</v>
      </c>
      <c r="C96" s="43" t="s">
        <v>195</v>
      </c>
      <c r="D96" s="24" t="s">
        <v>30</v>
      </c>
      <c r="E96" s="24">
        <v>1</v>
      </c>
      <c r="F96" s="25">
        <v>1890</v>
      </c>
      <c r="G96" s="25">
        <v>4890</v>
      </c>
      <c r="H96" s="27">
        <f t="shared" si="78"/>
        <v>6780</v>
      </c>
      <c r="I96" s="27">
        <f t="shared" ref="I96:I106" si="82">E96*G96</f>
        <v>4890</v>
      </c>
      <c r="J96" s="27"/>
      <c r="K96" s="24"/>
      <c r="L96" s="27">
        <f t="shared" si="79"/>
        <v>1890</v>
      </c>
      <c r="M96" s="27"/>
      <c r="N96" s="24"/>
      <c r="O96" s="27">
        <f t="shared" si="43"/>
        <v>6780</v>
      </c>
      <c r="P96" s="27"/>
      <c r="Q96" s="27">
        <f t="shared" si="80"/>
        <v>6780</v>
      </c>
      <c r="R96" s="29">
        <f t="shared" si="81"/>
        <v>0</v>
      </c>
      <c r="S96">
        <v>87</v>
      </c>
    </row>
    <row r="97" spans="1:19" ht="18.75" customHeight="1" outlineLevel="1" x14ac:dyDescent="0.25">
      <c r="A97" s="9" t="str">
        <f t="shared" si="77"/>
        <v>11.11.3</v>
      </c>
      <c r="B97" s="46" t="s">
        <v>196</v>
      </c>
      <c r="C97" s="43" t="s">
        <v>197</v>
      </c>
      <c r="D97" s="24" t="s">
        <v>30</v>
      </c>
      <c r="E97" s="24">
        <v>1</v>
      </c>
      <c r="F97" s="25">
        <f>12960 + 1000</f>
        <v>13960</v>
      </c>
      <c r="G97" s="25"/>
      <c r="H97" s="27">
        <f>G97+F97</f>
        <v>13960</v>
      </c>
      <c r="I97" s="27">
        <f t="shared" si="82"/>
        <v>0</v>
      </c>
      <c r="J97" s="27"/>
      <c r="K97" s="24"/>
      <c r="L97" s="27">
        <f>E97*F97</f>
        <v>13960</v>
      </c>
      <c r="M97" s="27"/>
      <c r="N97" s="24"/>
      <c r="O97" s="27">
        <f t="shared" si="43"/>
        <v>13960</v>
      </c>
      <c r="P97" s="27"/>
      <c r="Q97" s="27">
        <f t="shared" si="80"/>
        <v>13960</v>
      </c>
      <c r="R97" s="29">
        <f t="shared" si="81"/>
        <v>0</v>
      </c>
      <c r="S97">
        <v>88</v>
      </c>
    </row>
    <row r="98" spans="1:19" ht="18.75" customHeight="1" outlineLevel="1" x14ac:dyDescent="0.25">
      <c r="A98" s="9" t="str">
        <f t="shared" si="77"/>
        <v>11.11.4</v>
      </c>
      <c r="B98" s="46" t="s">
        <v>198</v>
      </c>
      <c r="C98" s="43" t="s">
        <v>199</v>
      </c>
      <c r="D98" s="24" t="s">
        <v>25</v>
      </c>
      <c r="E98" s="24">
        <v>1000</v>
      </c>
      <c r="F98" s="25">
        <v>7.56</v>
      </c>
      <c r="G98" s="25">
        <v>1.2</v>
      </c>
      <c r="H98" s="27">
        <f t="shared" si="78"/>
        <v>8.76</v>
      </c>
      <c r="I98" s="27">
        <f t="shared" si="82"/>
        <v>1200</v>
      </c>
      <c r="J98" s="27"/>
      <c r="K98" s="24"/>
      <c r="L98" s="27">
        <f t="shared" si="79"/>
        <v>7560</v>
      </c>
      <c r="M98" s="27"/>
      <c r="N98" s="24"/>
      <c r="O98" s="27">
        <f t="shared" si="43"/>
        <v>8760</v>
      </c>
      <c r="P98" s="27"/>
      <c r="Q98" s="27">
        <f t="shared" si="80"/>
        <v>8760</v>
      </c>
      <c r="R98" s="29">
        <f t="shared" si="81"/>
        <v>0</v>
      </c>
      <c r="S98">
        <v>89</v>
      </c>
    </row>
    <row r="99" spans="1:19" ht="18.75" customHeight="1" outlineLevel="1" x14ac:dyDescent="0.25">
      <c r="A99" s="9" t="str">
        <f t="shared" si="77"/>
        <v>11.11.5</v>
      </c>
      <c r="B99" s="46" t="s">
        <v>200</v>
      </c>
      <c r="C99" s="43" t="s">
        <v>201</v>
      </c>
      <c r="D99" s="24" t="s">
        <v>193</v>
      </c>
      <c r="E99" s="24">
        <v>14</v>
      </c>
      <c r="F99" s="25">
        <v>1956</v>
      </c>
      <c r="G99" s="25"/>
      <c r="H99" s="27">
        <f t="shared" si="78"/>
        <v>1956</v>
      </c>
      <c r="I99" s="27">
        <f t="shared" si="82"/>
        <v>0</v>
      </c>
      <c r="J99" s="27"/>
      <c r="K99" s="24"/>
      <c r="L99" s="27">
        <f t="shared" si="79"/>
        <v>27384</v>
      </c>
      <c r="M99" s="27"/>
      <c r="N99" s="24"/>
      <c r="O99" s="27">
        <f t="shared" si="43"/>
        <v>27384</v>
      </c>
      <c r="P99" s="27"/>
      <c r="Q99" s="27">
        <f t="shared" si="80"/>
        <v>27384</v>
      </c>
      <c r="R99" s="29">
        <f t="shared" si="81"/>
        <v>0</v>
      </c>
      <c r="S99">
        <v>90</v>
      </c>
    </row>
    <row r="100" spans="1:19" ht="18.75" customHeight="1" outlineLevel="1" x14ac:dyDescent="0.25">
      <c r="A100" s="9" t="str">
        <f t="shared" si="77"/>
        <v>11.11.6</v>
      </c>
      <c r="B100" s="46" t="s">
        <v>202</v>
      </c>
      <c r="C100" s="43" t="s">
        <v>203</v>
      </c>
      <c r="D100" s="24" t="s">
        <v>30</v>
      </c>
      <c r="E100" s="24">
        <v>1</v>
      </c>
      <c r="F100" s="25">
        <f>14000+2500</f>
        <v>16500</v>
      </c>
      <c r="G100" s="25"/>
      <c r="H100" s="27">
        <f t="shared" si="78"/>
        <v>16500</v>
      </c>
      <c r="I100" s="27">
        <f t="shared" si="82"/>
        <v>0</v>
      </c>
      <c r="J100" s="27"/>
      <c r="K100" s="24"/>
      <c r="L100" s="27">
        <f t="shared" si="79"/>
        <v>16500</v>
      </c>
      <c r="M100" s="27"/>
      <c r="N100" s="24"/>
      <c r="O100" s="27">
        <f t="shared" si="43"/>
        <v>16500</v>
      </c>
      <c r="P100" s="27"/>
      <c r="Q100" s="27">
        <f t="shared" si="80"/>
        <v>16500</v>
      </c>
      <c r="R100" s="29">
        <f t="shared" si="81"/>
        <v>0</v>
      </c>
      <c r="S100">
        <v>91</v>
      </c>
    </row>
    <row r="101" spans="1:19" ht="18.75" customHeight="1" outlineLevel="1" x14ac:dyDescent="0.25">
      <c r="A101" s="9" t="str">
        <f t="shared" si="77"/>
        <v>11.11.7</v>
      </c>
      <c r="B101" s="46" t="s">
        <v>204</v>
      </c>
      <c r="C101" s="43" t="s">
        <v>205</v>
      </c>
      <c r="D101" s="24" t="s">
        <v>30</v>
      </c>
      <c r="E101" s="24">
        <v>1</v>
      </c>
      <c r="F101" s="25">
        <v>4000</v>
      </c>
      <c r="G101" s="25"/>
      <c r="H101" s="27">
        <f t="shared" si="78"/>
        <v>4000</v>
      </c>
      <c r="I101" s="27">
        <f t="shared" si="82"/>
        <v>0</v>
      </c>
      <c r="J101" s="27"/>
      <c r="K101" s="24"/>
      <c r="L101" s="27">
        <f t="shared" si="79"/>
        <v>4000</v>
      </c>
      <c r="M101" s="27"/>
      <c r="N101" s="24"/>
      <c r="O101" s="27">
        <f t="shared" si="43"/>
        <v>4000</v>
      </c>
      <c r="P101" s="27"/>
      <c r="Q101" s="27">
        <f t="shared" si="80"/>
        <v>4000</v>
      </c>
      <c r="R101" s="29">
        <f t="shared" si="81"/>
        <v>0</v>
      </c>
      <c r="S101">
        <v>92</v>
      </c>
    </row>
    <row r="102" spans="1:19" ht="18.75" customHeight="1" outlineLevel="1" x14ac:dyDescent="0.25">
      <c r="A102" s="9" t="str">
        <f t="shared" si="77"/>
        <v>11.11.8</v>
      </c>
      <c r="B102" s="46" t="s">
        <v>206</v>
      </c>
      <c r="C102" s="43" t="s">
        <v>207</v>
      </c>
      <c r="D102" s="24" t="s">
        <v>30</v>
      </c>
      <c r="E102" s="24">
        <v>1</v>
      </c>
      <c r="F102" s="25">
        <v>10000</v>
      </c>
      <c r="G102" s="25"/>
      <c r="H102" s="27">
        <f t="shared" si="78"/>
        <v>10000</v>
      </c>
      <c r="I102" s="27">
        <f t="shared" si="82"/>
        <v>0</v>
      </c>
      <c r="J102" s="27"/>
      <c r="K102" s="24"/>
      <c r="L102" s="27">
        <f t="shared" si="79"/>
        <v>10000</v>
      </c>
      <c r="M102" s="27"/>
      <c r="N102" s="24"/>
      <c r="O102" s="27">
        <f t="shared" si="43"/>
        <v>10000</v>
      </c>
      <c r="P102" s="27"/>
      <c r="Q102" s="27">
        <f t="shared" si="80"/>
        <v>10000</v>
      </c>
      <c r="R102" s="29">
        <f t="shared" si="81"/>
        <v>0</v>
      </c>
      <c r="S102">
        <v>93</v>
      </c>
    </row>
    <row r="103" spans="1:19" ht="18.75" customHeight="1" outlineLevel="1" x14ac:dyDescent="0.25">
      <c r="A103" s="9" t="str">
        <f t="shared" si="77"/>
        <v>11.11.9</v>
      </c>
      <c r="B103" s="46" t="s">
        <v>208</v>
      </c>
      <c r="C103" s="43" t="s">
        <v>404</v>
      </c>
      <c r="D103" s="24"/>
      <c r="E103" s="24"/>
      <c r="F103" s="25"/>
      <c r="G103" s="25"/>
      <c r="H103" s="27"/>
      <c r="I103" s="27"/>
      <c r="J103" s="27"/>
      <c r="K103" s="24"/>
      <c r="L103" s="27"/>
      <c r="M103" s="27"/>
      <c r="N103" s="24"/>
      <c r="O103" s="27"/>
      <c r="P103" s="27"/>
      <c r="Q103" s="27"/>
      <c r="R103" s="29"/>
    </row>
    <row r="104" spans="1:19" ht="18.75" customHeight="1" outlineLevel="1" x14ac:dyDescent="0.25">
      <c r="A104" s="9" t="str">
        <f t="shared" si="77"/>
        <v>11.11.10</v>
      </c>
      <c r="B104" s="46" t="s">
        <v>210</v>
      </c>
      <c r="C104" s="43" t="s">
        <v>209</v>
      </c>
      <c r="D104" s="24" t="s">
        <v>30</v>
      </c>
      <c r="E104" s="24">
        <v>1</v>
      </c>
      <c r="F104" s="25">
        <v>4000</v>
      </c>
      <c r="G104" s="25"/>
      <c r="H104" s="27">
        <f t="shared" si="78"/>
        <v>4000</v>
      </c>
      <c r="I104" s="27">
        <f t="shared" si="82"/>
        <v>0</v>
      </c>
      <c r="J104" s="27"/>
      <c r="K104" s="24"/>
      <c r="L104" s="27">
        <f t="shared" si="79"/>
        <v>4000</v>
      </c>
      <c r="M104" s="27"/>
      <c r="N104" s="24"/>
      <c r="O104" s="27">
        <f t="shared" si="43"/>
        <v>4000</v>
      </c>
      <c r="P104" s="27"/>
      <c r="Q104" s="27">
        <f t="shared" si="80"/>
        <v>4000</v>
      </c>
      <c r="R104" s="29">
        <f t="shared" si="81"/>
        <v>0</v>
      </c>
      <c r="S104">
        <v>94</v>
      </c>
    </row>
    <row r="105" spans="1:19" ht="18.75" customHeight="1" outlineLevel="1" x14ac:dyDescent="0.25">
      <c r="A105" s="9" t="str">
        <f t="shared" si="77"/>
        <v>11.11.11</v>
      </c>
      <c r="B105" s="46" t="s">
        <v>212</v>
      </c>
      <c r="C105" s="43" t="s">
        <v>211</v>
      </c>
      <c r="D105" s="24" t="s">
        <v>30</v>
      </c>
      <c r="E105" s="24">
        <v>1</v>
      </c>
      <c r="F105" s="25">
        <v>2450</v>
      </c>
      <c r="G105" s="25">
        <v>1350</v>
      </c>
      <c r="H105" s="27">
        <f t="shared" si="78"/>
        <v>3800</v>
      </c>
      <c r="I105" s="27">
        <f t="shared" si="82"/>
        <v>1350</v>
      </c>
      <c r="J105" s="27"/>
      <c r="K105" s="24"/>
      <c r="L105" s="27">
        <f t="shared" si="79"/>
        <v>2450</v>
      </c>
      <c r="M105" s="27"/>
      <c r="N105" s="24"/>
      <c r="O105" s="27">
        <f t="shared" si="43"/>
        <v>3800</v>
      </c>
      <c r="P105" s="27"/>
      <c r="Q105" s="27">
        <f t="shared" si="80"/>
        <v>3800</v>
      </c>
      <c r="R105" s="29">
        <f t="shared" si="81"/>
        <v>0</v>
      </c>
      <c r="S105">
        <v>95</v>
      </c>
    </row>
    <row r="106" spans="1:19" ht="18.75" customHeight="1" outlineLevel="1" x14ac:dyDescent="0.25">
      <c r="A106" s="9" t="str">
        <f t="shared" si="77"/>
        <v>11.11.12</v>
      </c>
      <c r="B106" s="46" t="s">
        <v>401</v>
      </c>
      <c r="C106" s="43" t="s">
        <v>213</v>
      </c>
      <c r="D106" s="24" t="s">
        <v>30</v>
      </c>
      <c r="E106" s="24">
        <v>1</v>
      </c>
      <c r="F106" s="25">
        <v>4000</v>
      </c>
      <c r="G106" s="25">
        <v>1200</v>
      </c>
      <c r="H106" s="27">
        <f t="shared" si="78"/>
        <v>5200</v>
      </c>
      <c r="I106" s="27">
        <f t="shared" si="82"/>
        <v>1200</v>
      </c>
      <c r="J106" s="27"/>
      <c r="K106" s="24"/>
      <c r="L106" s="27">
        <f t="shared" si="79"/>
        <v>4000</v>
      </c>
      <c r="M106" s="27"/>
      <c r="N106" s="24"/>
      <c r="O106" s="27">
        <f t="shared" si="43"/>
        <v>5200</v>
      </c>
      <c r="P106" s="27"/>
      <c r="Q106" s="27">
        <f t="shared" si="80"/>
        <v>5200</v>
      </c>
      <c r="R106" s="29">
        <f t="shared" si="81"/>
        <v>0</v>
      </c>
      <c r="S106">
        <v>96</v>
      </c>
    </row>
    <row r="107" spans="1:19" ht="18.75" customHeight="1" outlineLevel="1" thickBot="1" x14ac:dyDescent="0.3">
      <c r="A107" s="9" t="str">
        <f t="shared" si="77"/>
        <v>11.11.13</v>
      </c>
      <c r="B107" s="46" t="s">
        <v>403</v>
      </c>
      <c r="C107" s="43" t="s">
        <v>402</v>
      </c>
      <c r="D107" s="24" t="s">
        <v>30</v>
      </c>
      <c r="E107" s="24">
        <v>1</v>
      </c>
      <c r="F107" s="25"/>
      <c r="G107" s="25"/>
      <c r="H107" s="27"/>
      <c r="I107" s="27"/>
      <c r="J107" s="27"/>
      <c r="K107" s="24"/>
      <c r="L107" s="27"/>
      <c r="M107" s="27"/>
      <c r="N107" s="24"/>
      <c r="O107" s="27"/>
      <c r="P107" s="27"/>
      <c r="Q107" s="27"/>
      <c r="R107" s="29"/>
    </row>
    <row r="108" spans="1:19" ht="18.75" customHeight="1" thickBot="1" x14ac:dyDescent="0.3">
      <c r="B108" s="17">
        <v>12</v>
      </c>
      <c r="C108" s="100" t="s">
        <v>214</v>
      </c>
      <c r="D108" s="101"/>
      <c r="E108" s="18">
        <f>SUM(E109:E120)</f>
        <v>27</v>
      </c>
      <c r="F108" s="19"/>
      <c r="G108" s="19"/>
      <c r="H108" s="19">
        <f>SUM(H109:H120)</f>
        <v>202634</v>
      </c>
      <c r="I108" s="19">
        <f>SUM(I109:I120)</f>
        <v>71105</v>
      </c>
      <c r="J108" s="19"/>
      <c r="K108" s="20"/>
      <c r="L108" s="19">
        <f>SUM(L109:L120)</f>
        <v>134094</v>
      </c>
      <c r="M108" s="19"/>
      <c r="N108" s="20"/>
      <c r="O108" s="19">
        <f>SUM(O109:O120)</f>
        <v>205199</v>
      </c>
      <c r="P108" s="19"/>
      <c r="Q108" s="19">
        <f>SUM(Q109:Q120)</f>
        <v>205199</v>
      </c>
      <c r="R108" s="21">
        <f>IF(O108=0,0,+Q108/O108-1)</f>
        <v>0</v>
      </c>
      <c r="S108">
        <v>97</v>
      </c>
    </row>
    <row r="109" spans="1:19" ht="18.75" customHeight="1" outlineLevel="1" x14ac:dyDescent="0.25">
      <c r="A109" s="9" t="str">
        <f t="shared" ref="A109:A120" si="83">$B$108&amp;"."&amp;B109</f>
        <v>12.12.1</v>
      </c>
      <c r="B109" s="46" t="s">
        <v>215</v>
      </c>
      <c r="C109" s="43" t="s">
        <v>216</v>
      </c>
      <c r="D109" s="24" t="s">
        <v>88</v>
      </c>
      <c r="E109" s="47">
        <v>1</v>
      </c>
      <c r="F109" s="25">
        <v>800</v>
      </c>
      <c r="G109" s="25">
        <v>4960</v>
      </c>
      <c r="H109" s="27">
        <f t="shared" ref="H109:H114" si="84">G109+F109</f>
        <v>5760</v>
      </c>
      <c r="I109" s="27">
        <f t="shared" ref="I109:I120" si="85">E109*G109</f>
        <v>4960</v>
      </c>
      <c r="J109" s="27"/>
      <c r="K109" s="24"/>
      <c r="L109" s="27">
        <f t="shared" ref="L109:L120" si="86">E109*F109</f>
        <v>800</v>
      </c>
      <c r="M109" s="27"/>
      <c r="N109" s="24"/>
      <c r="O109" s="27">
        <f t="shared" ref="O109:O120" si="87">L109+I109</f>
        <v>5760</v>
      </c>
      <c r="P109" s="27"/>
      <c r="Q109" s="27">
        <f t="shared" ref="Q109:Q120" si="88">IF(K109="",I109,J109/K109)+IF(N109="",L109,M109/N109)</f>
        <v>5760</v>
      </c>
      <c r="R109" s="29">
        <f t="shared" ref="R109:R120" si="89">IF(O109=0,0,+Q109/O109-1)</f>
        <v>0</v>
      </c>
      <c r="S109">
        <v>98</v>
      </c>
    </row>
    <row r="110" spans="1:19" ht="18.75" customHeight="1" outlineLevel="1" x14ac:dyDescent="0.25">
      <c r="A110" s="9" t="str">
        <f t="shared" si="83"/>
        <v>12.12.2</v>
      </c>
      <c r="B110" s="46" t="s">
        <v>217</v>
      </c>
      <c r="C110" s="43" t="s">
        <v>218</v>
      </c>
      <c r="D110" s="24" t="s">
        <v>88</v>
      </c>
      <c r="E110" s="47">
        <v>1</v>
      </c>
      <c r="F110" s="25">
        <v>42000</v>
      </c>
      <c r="G110" s="25">
        <v>28900</v>
      </c>
      <c r="H110" s="27">
        <f t="shared" si="84"/>
        <v>70900</v>
      </c>
      <c r="I110" s="27">
        <f t="shared" si="85"/>
        <v>28900</v>
      </c>
      <c r="J110" s="27"/>
      <c r="K110" s="24"/>
      <c r="L110" s="27">
        <f t="shared" si="86"/>
        <v>42000</v>
      </c>
      <c r="M110" s="27"/>
      <c r="N110" s="24"/>
      <c r="O110" s="27">
        <f t="shared" si="87"/>
        <v>70900</v>
      </c>
      <c r="P110" s="27"/>
      <c r="Q110" s="27">
        <f t="shared" si="88"/>
        <v>70900</v>
      </c>
      <c r="R110" s="29">
        <f t="shared" si="89"/>
        <v>0</v>
      </c>
      <c r="S110">
        <v>99</v>
      </c>
    </row>
    <row r="111" spans="1:19" ht="18.75" customHeight="1" outlineLevel="1" x14ac:dyDescent="0.25">
      <c r="A111" s="9" t="str">
        <f t="shared" si="83"/>
        <v>12.12.3</v>
      </c>
      <c r="B111" s="46" t="s">
        <v>219</v>
      </c>
      <c r="C111" s="43" t="s">
        <v>220</v>
      </c>
      <c r="D111" s="24" t="s">
        <v>30</v>
      </c>
      <c r="E111" s="24">
        <v>1</v>
      </c>
      <c r="F111" s="25">
        <v>29900</v>
      </c>
      <c r="G111" s="25">
        <v>25600</v>
      </c>
      <c r="H111" s="27">
        <f t="shared" si="84"/>
        <v>55500</v>
      </c>
      <c r="I111" s="27">
        <f t="shared" si="85"/>
        <v>25600</v>
      </c>
      <c r="J111" s="27"/>
      <c r="K111" s="24"/>
      <c r="L111" s="27">
        <f t="shared" si="86"/>
        <v>29900</v>
      </c>
      <c r="M111" s="27"/>
      <c r="N111" s="24"/>
      <c r="O111" s="27">
        <f t="shared" si="87"/>
        <v>55500</v>
      </c>
      <c r="P111" s="27"/>
      <c r="Q111" s="27">
        <f t="shared" si="88"/>
        <v>55500</v>
      </c>
      <c r="R111" s="29">
        <f t="shared" si="89"/>
        <v>0</v>
      </c>
      <c r="S111">
        <v>100</v>
      </c>
    </row>
    <row r="112" spans="1:19" ht="22.5" customHeight="1" outlineLevel="1" x14ac:dyDescent="0.25">
      <c r="A112" s="9" t="str">
        <f t="shared" si="83"/>
        <v>12.12.4</v>
      </c>
      <c r="B112" s="46" t="s">
        <v>221</v>
      </c>
      <c r="C112" s="43" t="s">
        <v>222</v>
      </c>
      <c r="D112" s="24" t="s">
        <v>30</v>
      </c>
      <c r="E112" s="24">
        <v>1</v>
      </c>
      <c r="F112" s="25">
        <v>2150</v>
      </c>
      <c r="G112" s="25">
        <v>900</v>
      </c>
      <c r="H112" s="27">
        <f t="shared" si="84"/>
        <v>3050</v>
      </c>
      <c r="I112" s="27">
        <f t="shared" si="85"/>
        <v>900</v>
      </c>
      <c r="J112" s="27"/>
      <c r="K112" s="24"/>
      <c r="L112" s="27">
        <f t="shared" si="86"/>
        <v>2150</v>
      </c>
      <c r="M112" s="27"/>
      <c r="N112" s="24"/>
      <c r="O112" s="27">
        <f t="shared" si="87"/>
        <v>3050</v>
      </c>
      <c r="P112" s="27"/>
      <c r="Q112" s="27">
        <f t="shared" si="88"/>
        <v>3050</v>
      </c>
      <c r="R112" s="29">
        <f t="shared" si="89"/>
        <v>0</v>
      </c>
      <c r="S112">
        <v>101</v>
      </c>
    </row>
    <row r="113" spans="1:19" ht="22.5" customHeight="1" outlineLevel="1" x14ac:dyDescent="0.25">
      <c r="A113" s="9" t="str">
        <f t="shared" si="83"/>
        <v>12.12.5</v>
      </c>
      <c r="B113" s="46" t="s">
        <v>223</v>
      </c>
      <c r="C113" s="43" t="s">
        <v>224</v>
      </c>
      <c r="D113" s="24" t="s">
        <v>88</v>
      </c>
      <c r="E113" s="24">
        <v>10</v>
      </c>
      <c r="F113" s="25">
        <v>145</v>
      </c>
      <c r="G113" s="25"/>
      <c r="H113" s="27">
        <f t="shared" si="84"/>
        <v>145</v>
      </c>
      <c r="I113" s="27">
        <f t="shared" si="85"/>
        <v>0</v>
      </c>
      <c r="J113" s="27"/>
      <c r="K113" s="24"/>
      <c r="L113" s="27">
        <f t="shared" si="86"/>
        <v>1450</v>
      </c>
      <c r="M113" s="27"/>
      <c r="N113" s="24"/>
      <c r="O113" s="27">
        <f t="shared" si="87"/>
        <v>1450</v>
      </c>
      <c r="P113" s="27"/>
      <c r="Q113" s="27">
        <f t="shared" si="88"/>
        <v>1450</v>
      </c>
      <c r="R113" s="29">
        <f t="shared" si="89"/>
        <v>0</v>
      </c>
      <c r="S113">
        <v>102</v>
      </c>
    </row>
    <row r="114" spans="1:19" ht="22.5" customHeight="1" outlineLevel="1" x14ac:dyDescent="0.25">
      <c r="A114" s="9" t="str">
        <f t="shared" si="83"/>
        <v>12.12.6</v>
      </c>
      <c r="B114" s="46" t="s">
        <v>225</v>
      </c>
      <c r="C114" s="43" t="s">
        <v>226</v>
      </c>
      <c r="D114" s="24" t="s">
        <v>88</v>
      </c>
      <c r="E114" s="24">
        <v>7</v>
      </c>
      <c r="F114" s="25">
        <v>210</v>
      </c>
      <c r="G114" s="25"/>
      <c r="H114" s="27">
        <f t="shared" si="84"/>
        <v>210</v>
      </c>
      <c r="I114" s="27">
        <f t="shared" si="85"/>
        <v>0</v>
      </c>
      <c r="J114" s="27"/>
      <c r="K114" s="24"/>
      <c r="L114" s="27">
        <f t="shared" si="86"/>
        <v>1470</v>
      </c>
      <c r="M114" s="27"/>
      <c r="N114" s="24"/>
      <c r="O114" s="27">
        <f t="shared" si="87"/>
        <v>1470</v>
      </c>
      <c r="P114" s="27"/>
      <c r="Q114" s="27">
        <f t="shared" si="88"/>
        <v>1470</v>
      </c>
      <c r="R114" s="29">
        <f t="shared" si="89"/>
        <v>0</v>
      </c>
      <c r="S114">
        <v>103</v>
      </c>
    </row>
    <row r="115" spans="1:19" ht="22.5" customHeight="1" outlineLevel="1" x14ac:dyDescent="0.25">
      <c r="A115" s="9" t="str">
        <f t="shared" si="83"/>
        <v>12.12.7</v>
      </c>
      <c r="B115" s="46" t="s">
        <v>227</v>
      </c>
      <c r="C115" s="43" t="s">
        <v>228</v>
      </c>
      <c r="D115" s="24" t="s">
        <v>30</v>
      </c>
      <c r="E115" s="24">
        <v>1</v>
      </c>
      <c r="F115" s="25">
        <v>15965</v>
      </c>
      <c r="G115" s="25">
        <v>1890</v>
      </c>
      <c r="H115" s="27">
        <f t="shared" ref="H115:H120" si="90">G115+F115</f>
        <v>17855</v>
      </c>
      <c r="I115" s="27">
        <f t="shared" si="85"/>
        <v>1890</v>
      </c>
      <c r="J115" s="27"/>
      <c r="K115" s="24"/>
      <c r="L115" s="27">
        <f t="shared" si="86"/>
        <v>15965</v>
      </c>
      <c r="M115" s="27"/>
      <c r="N115" s="24"/>
      <c r="O115" s="27">
        <f t="shared" si="87"/>
        <v>17855</v>
      </c>
      <c r="P115" s="27"/>
      <c r="Q115" s="27">
        <f t="shared" si="88"/>
        <v>17855</v>
      </c>
      <c r="R115" s="29">
        <f t="shared" si="89"/>
        <v>0</v>
      </c>
      <c r="S115">
        <v>104</v>
      </c>
    </row>
    <row r="116" spans="1:19" ht="22.5" customHeight="1" outlineLevel="1" x14ac:dyDescent="0.25">
      <c r="A116" s="9" t="str">
        <f t="shared" si="83"/>
        <v>12.12.8</v>
      </c>
      <c r="B116" s="46" t="s">
        <v>229</v>
      </c>
      <c r="C116" s="43" t="s">
        <v>230</v>
      </c>
      <c r="D116" s="24" t="s">
        <v>30</v>
      </c>
      <c r="E116" s="24">
        <v>1</v>
      </c>
      <c r="F116" s="25">
        <v>13986</v>
      </c>
      <c r="G116" s="25">
        <v>2450</v>
      </c>
      <c r="H116" s="27">
        <f t="shared" si="90"/>
        <v>16436</v>
      </c>
      <c r="I116" s="27">
        <f t="shared" si="85"/>
        <v>2450</v>
      </c>
      <c r="J116" s="27"/>
      <c r="K116" s="24"/>
      <c r="L116" s="27">
        <f t="shared" si="86"/>
        <v>13986</v>
      </c>
      <c r="M116" s="27"/>
      <c r="N116" s="24"/>
      <c r="O116" s="27">
        <f t="shared" si="87"/>
        <v>16436</v>
      </c>
      <c r="P116" s="27"/>
      <c r="Q116" s="27">
        <f t="shared" si="88"/>
        <v>16436</v>
      </c>
      <c r="R116" s="29">
        <f t="shared" si="89"/>
        <v>0</v>
      </c>
      <c r="S116">
        <v>105</v>
      </c>
    </row>
    <row r="117" spans="1:19" ht="22.5" customHeight="1" outlineLevel="1" x14ac:dyDescent="0.25">
      <c r="A117" s="9" t="str">
        <f t="shared" si="83"/>
        <v>12.12.9</v>
      </c>
      <c r="B117" s="46" t="s">
        <v>231</v>
      </c>
      <c r="C117" s="43" t="s">
        <v>232</v>
      </c>
      <c r="D117" s="24" t="s">
        <v>30</v>
      </c>
      <c r="E117" s="24">
        <v>1</v>
      </c>
      <c r="F117" s="25">
        <v>1900</v>
      </c>
      <c r="G117" s="25">
        <v>1300</v>
      </c>
      <c r="H117" s="27">
        <f t="shared" si="90"/>
        <v>3200</v>
      </c>
      <c r="I117" s="27">
        <f t="shared" si="85"/>
        <v>1300</v>
      </c>
      <c r="J117" s="27"/>
      <c r="K117" s="24"/>
      <c r="L117" s="27">
        <f t="shared" si="86"/>
        <v>1900</v>
      </c>
      <c r="M117" s="27"/>
      <c r="N117" s="24"/>
      <c r="O117" s="27">
        <f t="shared" si="87"/>
        <v>3200</v>
      </c>
      <c r="P117" s="27"/>
      <c r="Q117" s="27">
        <f t="shared" si="88"/>
        <v>3200</v>
      </c>
      <c r="R117" s="29">
        <f t="shared" si="89"/>
        <v>0</v>
      </c>
      <c r="S117">
        <v>106</v>
      </c>
    </row>
    <row r="118" spans="1:19" ht="22.5" customHeight="1" outlineLevel="1" x14ac:dyDescent="0.25">
      <c r="A118" s="9" t="str">
        <f t="shared" si="83"/>
        <v>12.12.10</v>
      </c>
      <c r="B118" s="46" t="s">
        <v>233</v>
      </c>
      <c r="C118" s="43" t="s">
        <v>234</v>
      </c>
      <c r="D118" s="24" t="s">
        <v>30</v>
      </c>
      <c r="E118" s="24">
        <v>1</v>
      </c>
      <c r="F118" s="25">
        <f>2890*0.7</f>
        <v>2022.9999999999998</v>
      </c>
      <c r="G118" s="25">
        <f>2150*0.7</f>
        <v>1505</v>
      </c>
      <c r="H118" s="27">
        <f t="shared" si="90"/>
        <v>3528</v>
      </c>
      <c r="I118" s="27">
        <f t="shared" si="85"/>
        <v>1505</v>
      </c>
      <c r="J118" s="27"/>
      <c r="K118" s="24"/>
      <c r="L118" s="27">
        <f t="shared" si="86"/>
        <v>2022.9999999999998</v>
      </c>
      <c r="M118" s="27"/>
      <c r="N118" s="24"/>
      <c r="O118" s="27">
        <f t="shared" si="87"/>
        <v>3528</v>
      </c>
      <c r="P118" s="27"/>
      <c r="Q118" s="27">
        <f t="shared" si="88"/>
        <v>3528</v>
      </c>
      <c r="R118" s="29">
        <f t="shared" si="89"/>
        <v>0</v>
      </c>
      <c r="S118">
        <v>107</v>
      </c>
    </row>
    <row r="119" spans="1:19" ht="22.5" customHeight="1" outlineLevel="1" x14ac:dyDescent="0.25">
      <c r="A119" s="9" t="str">
        <f t="shared" si="83"/>
        <v>12.12.11</v>
      </c>
      <c r="B119" s="46" t="s">
        <v>235</v>
      </c>
      <c r="C119" s="43" t="s">
        <v>236</v>
      </c>
      <c r="D119" s="24" t="s">
        <v>30</v>
      </c>
      <c r="E119" s="24">
        <v>1</v>
      </c>
      <c r="F119" s="25">
        <v>19560</v>
      </c>
      <c r="G119" s="25">
        <v>2150</v>
      </c>
      <c r="H119" s="27">
        <f t="shared" si="90"/>
        <v>21710</v>
      </c>
      <c r="I119" s="27">
        <f t="shared" si="85"/>
        <v>2150</v>
      </c>
      <c r="J119" s="27"/>
      <c r="K119" s="24"/>
      <c r="L119" s="27">
        <f t="shared" si="86"/>
        <v>19560</v>
      </c>
      <c r="M119" s="27"/>
      <c r="N119" s="24"/>
      <c r="O119" s="27">
        <f t="shared" si="87"/>
        <v>21710</v>
      </c>
      <c r="P119" s="27"/>
      <c r="Q119" s="27">
        <f t="shared" si="88"/>
        <v>21710</v>
      </c>
      <c r="R119" s="29">
        <f t="shared" si="89"/>
        <v>0</v>
      </c>
      <c r="S119">
        <v>108</v>
      </c>
    </row>
    <row r="120" spans="1:19" ht="22.5" customHeight="1" outlineLevel="1" thickBot="1" x14ac:dyDescent="0.3">
      <c r="A120" s="9" t="str">
        <f t="shared" si="83"/>
        <v>12.12.12</v>
      </c>
      <c r="B120" s="46" t="s">
        <v>237</v>
      </c>
      <c r="C120" s="43" t="s">
        <v>238</v>
      </c>
      <c r="D120" s="24" t="s">
        <v>30</v>
      </c>
      <c r="E120" s="24">
        <v>1</v>
      </c>
      <c r="F120" s="25">
        <v>2890</v>
      </c>
      <c r="G120" s="25">
        <v>1450</v>
      </c>
      <c r="H120" s="27">
        <f t="shared" si="90"/>
        <v>4340</v>
      </c>
      <c r="I120" s="27">
        <f t="shared" si="85"/>
        <v>1450</v>
      </c>
      <c r="J120" s="27"/>
      <c r="K120" s="24"/>
      <c r="L120" s="27">
        <f t="shared" si="86"/>
        <v>2890</v>
      </c>
      <c r="M120" s="27"/>
      <c r="N120" s="24"/>
      <c r="O120" s="27">
        <f t="shared" si="87"/>
        <v>4340</v>
      </c>
      <c r="P120" s="27"/>
      <c r="Q120" s="27">
        <f t="shared" si="88"/>
        <v>4340</v>
      </c>
      <c r="R120" s="29">
        <f t="shared" si="89"/>
        <v>0</v>
      </c>
      <c r="S120">
        <v>109</v>
      </c>
    </row>
    <row r="121" spans="1:19" ht="22.5" customHeight="1" thickBot="1" x14ac:dyDescent="0.3">
      <c r="B121" s="17">
        <v>13</v>
      </c>
      <c r="C121" s="100" t="s">
        <v>239</v>
      </c>
      <c r="D121" s="101"/>
      <c r="E121" s="18">
        <f>SUM(E122:E124)</f>
        <v>42</v>
      </c>
      <c r="F121" s="19"/>
      <c r="G121" s="19"/>
      <c r="H121" s="19">
        <f>SUM(H122:H124)</f>
        <v>5600</v>
      </c>
      <c r="I121" s="19">
        <f>SUM(I122:I124)</f>
        <v>78400</v>
      </c>
      <c r="J121" s="19"/>
      <c r="K121" s="20"/>
      <c r="L121" s="19">
        <f>SUM(L122:L124)</f>
        <v>0</v>
      </c>
      <c r="M121" s="19"/>
      <c r="N121" s="20"/>
      <c r="O121" s="19">
        <f>SUM(O122:O124)</f>
        <v>78400</v>
      </c>
      <c r="P121" s="19"/>
      <c r="Q121" s="19">
        <f>SUM(Q122:Q124)</f>
        <v>78400</v>
      </c>
      <c r="R121" s="21">
        <f>IF(O121=0,0,+Q121/O121-1)</f>
        <v>0</v>
      </c>
      <c r="S121">
        <v>110</v>
      </c>
    </row>
    <row r="122" spans="1:19" ht="22.5" customHeight="1" outlineLevel="1" x14ac:dyDescent="0.25">
      <c r="A122" s="9" t="str">
        <f>$B$121&amp;"."&amp;B122</f>
        <v>13.13.1</v>
      </c>
      <c r="B122" s="46" t="s">
        <v>240</v>
      </c>
      <c r="C122" s="43" t="s">
        <v>241</v>
      </c>
      <c r="D122" s="24" t="s">
        <v>193</v>
      </c>
      <c r="E122" s="24">
        <v>14</v>
      </c>
      <c r="F122" s="25"/>
      <c r="G122" s="25">
        <v>4000</v>
      </c>
      <c r="H122" s="27">
        <f>G122+F122</f>
        <v>4000</v>
      </c>
      <c r="I122" s="27">
        <f>E122*G122</f>
        <v>56000</v>
      </c>
      <c r="J122" s="27"/>
      <c r="K122" s="24"/>
      <c r="L122" s="27">
        <f>E122*F122</f>
        <v>0</v>
      </c>
      <c r="M122" s="27"/>
      <c r="N122" s="24"/>
      <c r="O122" s="27">
        <f t="shared" ref="O122:O124" si="91">L122+I122</f>
        <v>56000</v>
      </c>
      <c r="P122" s="27"/>
      <c r="Q122" s="27">
        <f t="shared" ref="Q122:Q124" si="92">IF(K122="",I122,J122/K122)+IF(N122="",L122,M122/N122)</f>
        <v>56000</v>
      </c>
      <c r="R122" s="29">
        <f t="shared" ref="R122:R124" si="93">IF(O122=0,0,+Q122/O122-1)</f>
        <v>0</v>
      </c>
      <c r="S122">
        <v>111</v>
      </c>
    </row>
    <row r="123" spans="1:19" ht="22.5" customHeight="1" outlineLevel="1" x14ac:dyDescent="0.25">
      <c r="A123" s="9" t="str">
        <f>$B$121&amp;"."&amp;B123</f>
        <v>13.13.2</v>
      </c>
      <c r="B123" s="46" t="s">
        <v>242</v>
      </c>
      <c r="C123" s="43" t="s">
        <v>243</v>
      </c>
      <c r="D123" s="24" t="s">
        <v>193</v>
      </c>
      <c r="E123" s="24">
        <v>14</v>
      </c>
      <c r="F123" s="25"/>
      <c r="G123" s="25">
        <v>950</v>
      </c>
      <c r="H123" s="27">
        <f t="shared" ref="H123:H124" si="94">G123+F123</f>
        <v>950</v>
      </c>
      <c r="I123" s="27">
        <f>E123*G123</f>
        <v>13300</v>
      </c>
      <c r="J123" s="27"/>
      <c r="K123" s="24"/>
      <c r="L123" s="27">
        <f>E123*F123</f>
        <v>0</v>
      </c>
      <c r="M123" s="27"/>
      <c r="N123" s="24"/>
      <c r="O123" s="27">
        <f t="shared" si="91"/>
        <v>13300</v>
      </c>
      <c r="P123" s="27"/>
      <c r="Q123" s="27">
        <f t="shared" si="92"/>
        <v>13300</v>
      </c>
      <c r="R123" s="29">
        <f t="shared" si="93"/>
        <v>0</v>
      </c>
      <c r="S123">
        <v>112</v>
      </c>
    </row>
    <row r="124" spans="1:19" ht="22.5" customHeight="1" outlineLevel="1" thickBot="1" x14ac:dyDescent="0.3">
      <c r="A124" s="9" t="str">
        <f>$B$121&amp;"."&amp;B124</f>
        <v>13.13.3</v>
      </c>
      <c r="B124" s="46" t="s">
        <v>244</v>
      </c>
      <c r="C124" s="43" t="s">
        <v>245</v>
      </c>
      <c r="D124" s="24" t="s">
        <v>193</v>
      </c>
      <c r="E124" s="24">
        <v>14</v>
      </c>
      <c r="F124" s="25"/>
      <c r="G124" s="25">
        <v>650</v>
      </c>
      <c r="H124" s="27">
        <f t="shared" si="94"/>
        <v>650</v>
      </c>
      <c r="I124" s="27">
        <f>E124*G124</f>
        <v>9100</v>
      </c>
      <c r="J124" s="27"/>
      <c r="K124" s="24"/>
      <c r="L124" s="27">
        <f>E124*F124</f>
        <v>0</v>
      </c>
      <c r="M124" s="27"/>
      <c r="N124" s="24"/>
      <c r="O124" s="27">
        <f t="shared" si="91"/>
        <v>9100</v>
      </c>
      <c r="P124" s="27"/>
      <c r="Q124" s="27">
        <f t="shared" si="92"/>
        <v>9100</v>
      </c>
      <c r="R124" s="29">
        <f t="shared" si="93"/>
        <v>0</v>
      </c>
      <c r="S124">
        <v>113</v>
      </c>
    </row>
    <row r="125" spans="1:19" ht="22.5" customHeight="1" thickBot="1" x14ac:dyDescent="0.3">
      <c r="B125" s="17">
        <v>14</v>
      </c>
      <c r="C125" s="100" t="s">
        <v>246</v>
      </c>
      <c r="D125" s="101"/>
      <c r="E125" s="18">
        <f>SUM(E126:E139)</f>
        <v>1936.1195</v>
      </c>
      <c r="F125" s="19"/>
      <c r="G125" s="19"/>
      <c r="H125" s="19">
        <f>SUM(H126:H139)</f>
        <v>25079.85</v>
      </c>
      <c r="I125" s="19">
        <f>SUM(I126:I139)</f>
        <v>52231.095799999996</v>
      </c>
      <c r="J125" s="19"/>
      <c r="K125" s="20"/>
      <c r="L125" s="19">
        <f>SUM(L126:L139)</f>
        <v>64762.150699999998</v>
      </c>
      <c r="M125" s="19"/>
      <c r="N125" s="20"/>
      <c r="O125" s="19">
        <f>SUM(O126:O139)</f>
        <v>116993.24649999999</v>
      </c>
      <c r="P125" s="19"/>
      <c r="Q125" s="19">
        <f>SUM(Q126:Q139)</f>
        <v>116993.24649999999</v>
      </c>
      <c r="R125" s="21">
        <f>IF(O125=0,0,+Q125/O125-1)</f>
        <v>0</v>
      </c>
      <c r="S125">
        <v>114</v>
      </c>
    </row>
    <row r="126" spans="1:19" ht="22.5" customHeight="1" outlineLevel="1" x14ac:dyDescent="0.25">
      <c r="A126" s="9" t="str">
        <f t="shared" ref="A126:A139" si="95">$B$125&amp;"."&amp;B126</f>
        <v>14.14.1</v>
      </c>
      <c r="B126" s="46" t="s">
        <v>247</v>
      </c>
      <c r="C126" s="43" t="s">
        <v>248</v>
      </c>
      <c r="D126" s="24" t="s">
        <v>38</v>
      </c>
      <c r="E126" s="24">
        <v>37.950000000000003</v>
      </c>
      <c r="F126" s="25">
        <v>12.97</v>
      </c>
      <c r="G126" s="25">
        <v>19.670000000000002</v>
      </c>
      <c r="H126" s="27">
        <f t="shared" ref="H126" si="96">G126+F126</f>
        <v>32.64</v>
      </c>
      <c r="I126" s="27">
        <f t="shared" ref="I126:I139" si="97">E126*G126</f>
        <v>746.4765000000001</v>
      </c>
      <c r="J126" s="27"/>
      <c r="K126" s="24"/>
      <c r="L126" s="27">
        <f t="shared" ref="L126:L139" si="98">E126*F126</f>
        <v>492.21150000000006</v>
      </c>
      <c r="M126" s="27"/>
      <c r="N126" s="24"/>
      <c r="O126" s="27">
        <f>L126+I126</f>
        <v>1238.6880000000001</v>
      </c>
      <c r="P126" s="27"/>
      <c r="Q126" s="27">
        <f t="shared" ref="Q126" si="99">IF(K126="",I126,J126/K126)+IF(N126="",L126,M126/N126)</f>
        <v>1238.6880000000001</v>
      </c>
      <c r="R126" s="29">
        <f t="shared" ref="R126" si="100">IF(O126=0,0,+Q126/O126-1)</f>
        <v>0</v>
      </c>
      <c r="S126">
        <v>115</v>
      </c>
    </row>
    <row r="127" spans="1:19" ht="22.5" customHeight="1" outlineLevel="1" x14ac:dyDescent="0.25">
      <c r="A127" s="9" t="str">
        <f t="shared" si="95"/>
        <v>14.14.2</v>
      </c>
      <c r="B127" s="46" t="s">
        <v>249</v>
      </c>
      <c r="C127" s="43" t="s">
        <v>250</v>
      </c>
      <c r="D127" s="24" t="s">
        <v>38</v>
      </c>
      <c r="E127" s="24">
        <v>1.8975000000000002</v>
      </c>
      <c r="F127" s="25">
        <v>290</v>
      </c>
      <c r="G127" s="25">
        <v>110</v>
      </c>
      <c r="H127" s="27">
        <f t="shared" ref="H127:H128" si="101">G127+F127</f>
        <v>400</v>
      </c>
      <c r="I127" s="27">
        <f t="shared" si="97"/>
        <v>208.72500000000002</v>
      </c>
      <c r="J127" s="27"/>
      <c r="K127" s="24"/>
      <c r="L127" s="27">
        <f t="shared" si="98"/>
        <v>550.27500000000009</v>
      </c>
      <c r="M127" s="27"/>
      <c r="N127" s="24"/>
      <c r="O127" s="27">
        <f t="shared" ref="O127:O128" si="102">L127+I127</f>
        <v>759.00000000000011</v>
      </c>
      <c r="P127" s="27"/>
      <c r="Q127" s="27">
        <f t="shared" ref="Q127:Q128" si="103">IF(K127="",I127,J127/K127)+IF(N127="",L127,M127/N127)</f>
        <v>759.00000000000011</v>
      </c>
      <c r="R127" s="29">
        <f t="shared" ref="R127:R128" si="104">IF(O127=0,0,+Q127/O127-1)</f>
        <v>0</v>
      </c>
      <c r="S127">
        <v>116</v>
      </c>
    </row>
    <row r="128" spans="1:19" ht="22.5" customHeight="1" outlineLevel="1" x14ac:dyDescent="0.25">
      <c r="A128" s="9" t="str">
        <f t="shared" si="95"/>
        <v>14.14.3</v>
      </c>
      <c r="B128" s="46" t="s">
        <v>251</v>
      </c>
      <c r="C128" s="43" t="s">
        <v>252</v>
      </c>
      <c r="D128" s="24" t="s">
        <v>38</v>
      </c>
      <c r="E128" s="24">
        <v>33.522000000000006</v>
      </c>
      <c r="F128" s="25">
        <v>550</v>
      </c>
      <c r="G128" s="25">
        <v>120</v>
      </c>
      <c r="H128" s="27">
        <f t="shared" si="101"/>
        <v>670</v>
      </c>
      <c r="I128" s="27">
        <f t="shared" si="97"/>
        <v>4022.6400000000008</v>
      </c>
      <c r="J128" s="27"/>
      <c r="K128" s="24"/>
      <c r="L128" s="27">
        <f t="shared" si="98"/>
        <v>18437.100000000002</v>
      </c>
      <c r="M128" s="27"/>
      <c r="N128" s="24"/>
      <c r="O128" s="27">
        <f t="shared" si="102"/>
        <v>22459.74</v>
      </c>
      <c r="P128" s="27"/>
      <c r="Q128" s="27">
        <f t="shared" si="103"/>
        <v>22459.74</v>
      </c>
      <c r="R128" s="29">
        <f t="shared" si="104"/>
        <v>0</v>
      </c>
      <c r="S128">
        <v>117</v>
      </c>
    </row>
    <row r="129" spans="1:19" ht="22.5" customHeight="1" outlineLevel="1" x14ac:dyDescent="0.25">
      <c r="A129" s="9" t="str">
        <f t="shared" si="95"/>
        <v>14.14.4</v>
      </c>
      <c r="B129" s="46" t="s">
        <v>253</v>
      </c>
      <c r="C129" s="43" t="s">
        <v>254</v>
      </c>
      <c r="D129" s="24" t="s">
        <v>56</v>
      </c>
      <c r="E129" s="24">
        <v>1228.7</v>
      </c>
      <c r="F129" s="25">
        <v>9.5</v>
      </c>
      <c r="G129" s="25">
        <v>4.2</v>
      </c>
      <c r="H129" s="27">
        <f t="shared" ref="H129:H136" si="105">G129+F129</f>
        <v>13.7</v>
      </c>
      <c r="I129" s="27">
        <f t="shared" si="97"/>
        <v>5160.54</v>
      </c>
      <c r="J129" s="27"/>
      <c r="K129" s="24"/>
      <c r="L129" s="27">
        <f t="shared" si="98"/>
        <v>11672.65</v>
      </c>
      <c r="M129" s="27"/>
      <c r="N129" s="24"/>
      <c r="O129" s="27">
        <f t="shared" ref="O129:O136" si="106">L129+I129</f>
        <v>16833.189999999999</v>
      </c>
      <c r="P129" s="27"/>
      <c r="Q129" s="27">
        <f t="shared" ref="Q129:Q136" si="107">IF(K129="",I129,J129/K129)+IF(N129="",L129,M129/N129)</f>
        <v>16833.189999999999</v>
      </c>
      <c r="R129" s="29">
        <f t="shared" ref="R129:R136" si="108">IF(O129=0,0,+Q129/O129-1)</f>
        <v>0</v>
      </c>
      <c r="S129">
        <v>118</v>
      </c>
    </row>
    <row r="130" spans="1:19" ht="22.5" customHeight="1" outlineLevel="1" x14ac:dyDescent="0.25">
      <c r="A130" s="9" t="str">
        <f t="shared" si="95"/>
        <v>14.14.5</v>
      </c>
      <c r="B130" s="46" t="s">
        <v>255</v>
      </c>
      <c r="C130" s="43" t="s">
        <v>256</v>
      </c>
      <c r="D130" s="24" t="s">
        <v>25</v>
      </c>
      <c r="E130" s="24">
        <v>78.209999999999994</v>
      </c>
      <c r="F130" s="25">
        <v>1.5</v>
      </c>
      <c r="G130" s="25">
        <v>2.2000000000000002</v>
      </c>
      <c r="H130" s="27">
        <f t="shared" si="105"/>
        <v>3.7</v>
      </c>
      <c r="I130" s="27">
        <f t="shared" si="97"/>
        <v>172.06200000000001</v>
      </c>
      <c r="J130" s="27"/>
      <c r="K130" s="24"/>
      <c r="L130" s="27">
        <f t="shared" si="98"/>
        <v>117.315</v>
      </c>
      <c r="M130" s="27"/>
      <c r="N130" s="24"/>
      <c r="O130" s="27">
        <f t="shared" si="106"/>
        <v>289.37700000000001</v>
      </c>
      <c r="P130" s="27"/>
      <c r="Q130" s="27">
        <f t="shared" si="107"/>
        <v>289.37700000000001</v>
      </c>
      <c r="R130" s="29">
        <f t="shared" si="108"/>
        <v>0</v>
      </c>
      <c r="S130">
        <v>119</v>
      </c>
    </row>
    <row r="131" spans="1:19" ht="22.5" customHeight="1" outlineLevel="1" x14ac:dyDescent="0.25">
      <c r="A131" s="9" t="str">
        <f t="shared" si="95"/>
        <v>14.14.6</v>
      </c>
      <c r="B131" s="46" t="s">
        <v>257</v>
      </c>
      <c r="C131" s="43" t="s">
        <v>258</v>
      </c>
      <c r="D131" s="24" t="s">
        <v>38</v>
      </c>
      <c r="E131" s="24">
        <v>15.65</v>
      </c>
      <c r="F131" s="25">
        <v>14.56</v>
      </c>
      <c r="G131" s="25">
        <v>21.75</v>
      </c>
      <c r="H131" s="27">
        <f t="shared" si="105"/>
        <v>36.31</v>
      </c>
      <c r="I131" s="27">
        <f t="shared" si="97"/>
        <v>340.38749999999999</v>
      </c>
      <c r="J131" s="27"/>
      <c r="K131" s="24"/>
      <c r="L131" s="27">
        <f t="shared" si="98"/>
        <v>227.864</v>
      </c>
      <c r="M131" s="27"/>
      <c r="N131" s="24"/>
      <c r="O131" s="27">
        <f t="shared" si="106"/>
        <v>568.25149999999996</v>
      </c>
      <c r="P131" s="27"/>
      <c r="Q131" s="27">
        <f t="shared" si="107"/>
        <v>568.25149999999996</v>
      </c>
      <c r="R131" s="29">
        <f t="shared" si="108"/>
        <v>0</v>
      </c>
      <c r="S131">
        <v>120</v>
      </c>
    </row>
    <row r="132" spans="1:19" ht="22.5" customHeight="1" outlineLevel="1" x14ac:dyDescent="0.25">
      <c r="A132" s="9" t="str">
        <f t="shared" si="95"/>
        <v>14.14.7</v>
      </c>
      <c r="B132" s="46" t="s">
        <v>259</v>
      </c>
      <c r="C132" s="43" t="s">
        <v>260</v>
      </c>
      <c r="D132" s="24" t="s">
        <v>25</v>
      </c>
      <c r="E132" s="24">
        <v>119.19999999999999</v>
      </c>
      <c r="F132" s="25">
        <v>57.85</v>
      </c>
      <c r="G132" s="25">
        <v>55.65</v>
      </c>
      <c r="H132" s="27">
        <f t="shared" si="105"/>
        <v>113.5</v>
      </c>
      <c r="I132" s="27">
        <f t="shared" si="97"/>
        <v>6633.48</v>
      </c>
      <c r="J132" s="27"/>
      <c r="K132" s="24"/>
      <c r="L132" s="27">
        <f t="shared" si="98"/>
        <v>6895.7199999999993</v>
      </c>
      <c r="M132" s="27"/>
      <c r="N132" s="24"/>
      <c r="O132" s="27">
        <f t="shared" si="106"/>
        <v>13529.199999999999</v>
      </c>
      <c r="P132" s="27"/>
      <c r="Q132" s="27">
        <f t="shared" si="107"/>
        <v>13529.199999999999</v>
      </c>
      <c r="R132" s="29">
        <f t="shared" si="108"/>
        <v>0</v>
      </c>
      <c r="S132">
        <v>121</v>
      </c>
    </row>
    <row r="133" spans="1:19" ht="22.5" customHeight="1" outlineLevel="1" x14ac:dyDescent="0.25">
      <c r="A133" s="9" t="str">
        <f t="shared" si="95"/>
        <v>14.14.8</v>
      </c>
      <c r="B133" s="46" t="s">
        <v>261</v>
      </c>
      <c r="C133" s="43" t="s">
        <v>262</v>
      </c>
      <c r="D133" s="24" t="s">
        <v>25</v>
      </c>
      <c r="E133" s="47">
        <v>138.32999999999998</v>
      </c>
      <c r="F133" s="25">
        <v>38</v>
      </c>
      <c r="G133" s="25">
        <v>65</v>
      </c>
      <c r="H133" s="27">
        <f t="shared" si="105"/>
        <v>103</v>
      </c>
      <c r="I133" s="27">
        <f t="shared" si="97"/>
        <v>8991.4499999999989</v>
      </c>
      <c r="J133" s="27"/>
      <c r="K133" s="24"/>
      <c r="L133" s="27">
        <f t="shared" si="98"/>
        <v>5256.5399999999991</v>
      </c>
      <c r="M133" s="27"/>
      <c r="N133" s="24"/>
      <c r="O133" s="27">
        <f t="shared" si="106"/>
        <v>14247.989999999998</v>
      </c>
      <c r="P133" s="27"/>
      <c r="Q133" s="27">
        <f t="shared" si="107"/>
        <v>14247.989999999998</v>
      </c>
      <c r="R133" s="29">
        <f t="shared" si="108"/>
        <v>0</v>
      </c>
      <c r="S133">
        <v>122</v>
      </c>
    </row>
    <row r="134" spans="1:19" ht="22.5" customHeight="1" outlineLevel="1" x14ac:dyDescent="0.25">
      <c r="A134" s="9" t="str">
        <f t="shared" si="95"/>
        <v>14.14.9</v>
      </c>
      <c r="B134" s="46" t="s">
        <v>263</v>
      </c>
      <c r="C134" s="43" t="s">
        <v>264</v>
      </c>
      <c r="D134" s="24" t="s">
        <v>25</v>
      </c>
      <c r="E134" s="24">
        <v>138.32999999999998</v>
      </c>
      <c r="F134" s="25">
        <v>17.440000000000001</v>
      </c>
      <c r="G134" s="25">
        <v>29.56</v>
      </c>
      <c r="H134" s="27">
        <f t="shared" si="105"/>
        <v>47</v>
      </c>
      <c r="I134" s="27">
        <f t="shared" si="97"/>
        <v>4089.0347999999994</v>
      </c>
      <c r="J134" s="27"/>
      <c r="K134" s="24"/>
      <c r="L134" s="27">
        <f t="shared" si="98"/>
        <v>2412.4751999999999</v>
      </c>
      <c r="M134" s="27"/>
      <c r="N134" s="24"/>
      <c r="O134" s="27">
        <f t="shared" si="106"/>
        <v>6501.5099999999993</v>
      </c>
      <c r="P134" s="27"/>
      <c r="Q134" s="27">
        <f t="shared" si="107"/>
        <v>6501.5099999999993</v>
      </c>
      <c r="R134" s="29">
        <f t="shared" si="108"/>
        <v>0</v>
      </c>
      <c r="S134">
        <v>123</v>
      </c>
    </row>
    <row r="135" spans="1:19" ht="22.5" customHeight="1" outlineLevel="1" x14ac:dyDescent="0.25">
      <c r="A135" s="9" t="str">
        <f t="shared" si="95"/>
        <v>14.14.10</v>
      </c>
      <c r="B135" s="46" t="s">
        <v>265</v>
      </c>
      <c r="C135" s="43" t="s">
        <v>266</v>
      </c>
      <c r="D135" s="24" t="s">
        <v>25</v>
      </c>
      <c r="E135" s="47">
        <v>138.32999999999998</v>
      </c>
      <c r="F135" s="25">
        <v>0</v>
      </c>
      <c r="G135" s="25">
        <v>110</v>
      </c>
      <c r="H135" s="27">
        <f t="shared" si="105"/>
        <v>110</v>
      </c>
      <c r="I135" s="27">
        <f t="shared" si="97"/>
        <v>15216.299999999997</v>
      </c>
      <c r="J135" s="27"/>
      <c r="K135" s="24"/>
      <c r="L135" s="27">
        <f t="shared" si="98"/>
        <v>0</v>
      </c>
      <c r="M135" s="27"/>
      <c r="N135" s="24"/>
      <c r="O135" s="27">
        <f t="shared" si="106"/>
        <v>15216.299999999997</v>
      </c>
      <c r="P135" s="27"/>
      <c r="Q135" s="27">
        <f t="shared" si="107"/>
        <v>15216.299999999997</v>
      </c>
      <c r="R135" s="29">
        <f t="shared" si="108"/>
        <v>0</v>
      </c>
      <c r="S135">
        <v>124</v>
      </c>
    </row>
    <row r="136" spans="1:19" ht="22.5" customHeight="1" outlineLevel="1" x14ac:dyDescent="0.25">
      <c r="A136" s="9" t="str">
        <f t="shared" si="95"/>
        <v>14.14.11</v>
      </c>
      <c r="B136" s="46" t="s">
        <v>267</v>
      </c>
      <c r="C136" s="43" t="s">
        <v>268</v>
      </c>
      <c r="D136" s="24" t="s">
        <v>30</v>
      </c>
      <c r="E136" s="24">
        <v>1</v>
      </c>
      <c r="F136" s="25">
        <v>2450</v>
      </c>
      <c r="G136" s="25">
        <v>3600</v>
      </c>
      <c r="H136" s="27">
        <f t="shared" si="105"/>
        <v>6050</v>
      </c>
      <c r="I136" s="27">
        <f t="shared" si="97"/>
        <v>3600</v>
      </c>
      <c r="J136" s="27"/>
      <c r="K136" s="24"/>
      <c r="L136" s="27">
        <f t="shared" si="98"/>
        <v>2450</v>
      </c>
      <c r="M136" s="27"/>
      <c r="N136" s="24"/>
      <c r="O136" s="27">
        <f t="shared" si="106"/>
        <v>6050</v>
      </c>
      <c r="P136" s="27"/>
      <c r="Q136" s="27">
        <f t="shared" si="107"/>
        <v>6050</v>
      </c>
      <c r="R136" s="29">
        <f t="shared" si="108"/>
        <v>0</v>
      </c>
      <c r="S136">
        <v>125</v>
      </c>
    </row>
    <row r="137" spans="1:19" ht="22.5" customHeight="1" outlineLevel="1" x14ac:dyDescent="0.25">
      <c r="A137" s="9" t="str">
        <f t="shared" si="95"/>
        <v>14.14.12</v>
      </c>
      <c r="B137" s="46" t="s">
        <v>269</v>
      </c>
      <c r="C137" s="43" t="s">
        <v>270</v>
      </c>
      <c r="D137" s="24" t="s">
        <v>30</v>
      </c>
      <c r="E137" s="24">
        <v>1</v>
      </c>
      <c r="F137" s="25">
        <v>2050</v>
      </c>
      <c r="G137" s="25">
        <v>550</v>
      </c>
      <c r="H137" s="27">
        <f t="shared" ref="H137:H139" si="109">G137+F137</f>
        <v>2600</v>
      </c>
      <c r="I137" s="27">
        <f t="shared" si="97"/>
        <v>550</v>
      </c>
      <c r="J137" s="27"/>
      <c r="K137" s="24"/>
      <c r="L137" s="27">
        <f t="shared" si="98"/>
        <v>2050</v>
      </c>
      <c r="M137" s="27"/>
      <c r="N137" s="24"/>
      <c r="O137" s="27">
        <f t="shared" ref="O137:O139" si="110">L137+I137</f>
        <v>2600</v>
      </c>
      <c r="P137" s="27"/>
      <c r="Q137" s="27">
        <f t="shared" ref="Q137:Q139" si="111">IF(K137="",I137,J137/K137)+IF(N137="",L137,M137/N137)</f>
        <v>2600</v>
      </c>
      <c r="R137" s="29">
        <f t="shared" ref="R137:R139" si="112">IF(O137=0,0,+Q137/O137-1)</f>
        <v>0</v>
      </c>
      <c r="S137">
        <v>126</v>
      </c>
    </row>
    <row r="138" spans="1:19" ht="22.5" customHeight="1" outlineLevel="1" x14ac:dyDescent="0.25">
      <c r="A138" s="9" t="str">
        <f t="shared" si="95"/>
        <v>14.14.13</v>
      </c>
      <c r="B138" s="46" t="s">
        <v>271</v>
      </c>
      <c r="C138" s="43" t="s">
        <v>272</v>
      </c>
      <c r="D138" s="24" t="s">
        <v>88</v>
      </c>
      <c r="E138" s="24">
        <v>3</v>
      </c>
      <c r="F138" s="25">
        <v>900</v>
      </c>
      <c r="G138" s="25"/>
      <c r="H138" s="27">
        <f t="shared" si="109"/>
        <v>900</v>
      </c>
      <c r="I138" s="27">
        <f t="shared" si="97"/>
        <v>0</v>
      </c>
      <c r="J138" s="27"/>
      <c r="K138" s="24"/>
      <c r="L138" s="27">
        <f t="shared" si="98"/>
        <v>2700</v>
      </c>
      <c r="M138" s="27"/>
      <c r="N138" s="24"/>
      <c r="O138" s="27">
        <f t="shared" si="110"/>
        <v>2700</v>
      </c>
      <c r="P138" s="27"/>
      <c r="Q138" s="27">
        <f t="shared" si="111"/>
        <v>2700</v>
      </c>
      <c r="R138" s="29">
        <f t="shared" si="112"/>
        <v>0</v>
      </c>
      <c r="S138">
        <v>127</v>
      </c>
    </row>
    <row r="139" spans="1:19" ht="22.5" customHeight="1" outlineLevel="1" x14ac:dyDescent="0.25">
      <c r="A139" s="9" t="str">
        <f t="shared" si="95"/>
        <v>14.14.14</v>
      </c>
      <c r="B139" s="46" t="s">
        <v>273</v>
      </c>
      <c r="C139" s="43" t="s">
        <v>274</v>
      </c>
      <c r="D139" s="24" t="s">
        <v>30</v>
      </c>
      <c r="E139" s="24">
        <v>1</v>
      </c>
      <c r="F139" s="25">
        <v>11500</v>
      </c>
      <c r="G139" s="25">
        <v>2500</v>
      </c>
      <c r="H139" s="27">
        <f t="shared" si="109"/>
        <v>14000</v>
      </c>
      <c r="I139" s="27">
        <f t="shared" si="97"/>
        <v>2500</v>
      </c>
      <c r="J139" s="27"/>
      <c r="K139" s="24"/>
      <c r="L139" s="27">
        <f t="shared" si="98"/>
        <v>11500</v>
      </c>
      <c r="M139" s="27"/>
      <c r="N139" s="24"/>
      <c r="O139" s="27">
        <f t="shared" si="110"/>
        <v>14000</v>
      </c>
      <c r="P139" s="27"/>
      <c r="Q139" s="27">
        <f t="shared" si="111"/>
        <v>14000</v>
      </c>
      <c r="R139" s="29">
        <f t="shared" si="112"/>
        <v>0</v>
      </c>
      <c r="S139">
        <v>128</v>
      </c>
    </row>
    <row r="141" spans="1:19" x14ac:dyDescent="0.25">
      <c r="B141" s="31" t="s">
        <v>275</v>
      </c>
      <c r="C141" s="31" t="s">
        <v>276</v>
      </c>
      <c r="D141" s="31" t="s">
        <v>277</v>
      </c>
    </row>
    <row r="142" spans="1:19" x14ac:dyDescent="0.25">
      <c r="B142" s="30">
        <v>1</v>
      </c>
      <c r="C142" s="77">
        <v>36227.68</v>
      </c>
      <c r="D142" s="88">
        <v>45576</v>
      </c>
      <c r="J142" s="33"/>
    </row>
    <row r="143" spans="1:19" ht="18.75" customHeight="1" x14ac:dyDescent="0.25">
      <c r="B143" s="30">
        <v>2</v>
      </c>
      <c r="C143" s="77">
        <v>58915.23</v>
      </c>
      <c r="D143" s="88">
        <v>45688</v>
      </c>
      <c r="J143" s="33"/>
    </row>
    <row r="144" spans="1:19" ht="18.75" customHeight="1" x14ac:dyDescent="0.25">
      <c r="B144" s="30">
        <v>3</v>
      </c>
      <c r="C144" s="78">
        <v>47960.25</v>
      </c>
      <c r="D144" s="88">
        <v>45702</v>
      </c>
      <c r="J144" s="33"/>
    </row>
    <row r="145" spans="2:10" ht="18.75" customHeight="1" x14ac:dyDescent="0.25">
      <c r="B145" s="30">
        <v>4</v>
      </c>
      <c r="C145" s="78">
        <v>73496.820000000007</v>
      </c>
      <c r="D145" s="88">
        <v>45716</v>
      </c>
      <c r="E145" s="85"/>
      <c r="J145" s="33"/>
    </row>
    <row r="146" spans="2:10" ht="18.75" customHeight="1" x14ac:dyDescent="0.25">
      <c r="B146" s="30">
        <v>5</v>
      </c>
      <c r="C146" s="76">
        <v>50660.13</v>
      </c>
      <c r="D146" s="88">
        <v>45730</v>
      </c>
      <c r="J146" s="33"/>
    </row>
    <row r="147" spans="2:10" ht="18.75" customHeight="1" x14ac:dyDescent="0.25">
      <c r="B147" s="30">
        <v>6</v>
      </c>
      <c r="C147" s="80">
        <v>35165.870000000003</v>
      </c>
      <c r="D147" s="88">
        <v>45744</v>
      </c>
      <c r="J147" s="33"/>
    </row>
    <row r="148" spans="2:10" ht="18.75" customHeight="1" x14ac:dyDescent="0.25">
      <c r="B148" s="30">
        <v>7</v>
      </c>
      <c r="C148" s="81">
        <v>27049.9</v>
      </c>
      <c r="D148" s="88">
        <v>45758</v>
      </c>
      <c r="J148" s="33"/>
    </row>
    <row r="149" spans="2:10" ht="18.75" customHeight="1" x14ac:dyDescent="0.25">
      <c r="B149" s="30">
        <v>8</v>
      </c>
      <c r="C149" s="76">
        <v>20808.72</v>
      </c>
      <c r="D149" s="88">
        <v>45772</v>
      </c>
      <c r="J149" s="33"/>
    </row>
    <row r="150" spans="2:10" ht="18.75" customHeight="1" x14ac:dyDescent="0.25">
      <c r="B150" s="30">
        <v>9</v>
      </c>
      <c r="C150" s="76">
        <v>28078.45</v>
      </c>
      <c r="D150" s="88">
        <v>45786</v>
      </c>
      <c r="J150" s="33"/>
    </row>
    <row r="151" spans="2:10" ht="18.75" customHeight="1" x14ac:dyDescent="0.25">
      <c r="B151" s="30">
        <v>10</v>
      </c>
      <c r="C151" s="76">
        <v>46765.19</v>
      </c>
      <c r="D151" s="88">
        <v>45800</v>
      </c>
      <c r="J151" s="33"/>
    </row>
    <row r="152" spans="2:10" ht="18.75" customHeight="1" x14ac:dyDescent="0.25">
      <c r="B152" s="30">
        <v>11</v>
      </c>
      <c r="C152" s="76">
        <v>44738.3</v>
      </c>
      <c r="D152" s="88">
        <v>45814</v>
      </c>
      <c r="J152" s="33"/>
    </row>
    <row r="153" spans="2:10" ht="18.75" customHeight="1" x14ac:dyDescent="0.25">
      <c r="B153" s="30">
        <v>12</v>
      </c>
      <c r="C153" s="82">
        <v>41900.29</v>
      </c>
      <c r="D153" s="88">
        <v>45828</v>
      </c>
      <c r="J153" s="33"/>
    </row>
    <row r="154" spans="2:10" ht="18.75" customHeight="1" x14ac:dyDescent="0.25">
      <c r="B154" s="30">
        <v>13</v>
      </c>
      <c r="C154" s="76">
        <v>48083.8</v>
      </c>
      <c r="D154" s="88">
        <v>45842</v>
      </c>
      <c r="J154" s="33"/>
    </row>
    <row r="155" spans="2:10" x14ac:dyDescent="0.25">
      <c r="B155" s="30">
        <v>14</v>
      </c>
      <c r="C155" s="84">
        <v>64302.16</v>
      </c>
      <c r="D155" s="88">
        <v>45856</v>
      </c>
    </row>
    <row r="156" spans="2:10" x14ac:dyDescent="0.25">
      <c r="B156" s="30">
        <v>15</v>
      </c>
      <c r="C156" s="82">
        <v>105867.31</v>
      </c>
      <c r="D156" s="88">
        <v>45870</v>
      </c>
    </row>
    <row r="157" spans="2:10" x14ac:dyDescent="0.25">
      <c r="B157" s="30">
        <v>16</v>
      </c>
      <c r="C157" s="76">
        <v>57960.14</v>
      </c>
      <c r="D157" s="88">
        <v>45884</v>
      </c>
    </row>
    <row r="158" spans="2:10" x14ac:dyDescent="0.25">
      <c r="B158" s="30">
        <v>17</v>
      </c>
      <c r="C158" s="82">
        <v>61484.72</v>
      </c>
      <c r="D158" s="88">
        <v>45898</v>
      </c>
    </row>
    <row r="159" spans="2:10" x14ac:dyDescent="0.25">
      <c r="B159" s="30">
        <v>18</v>
      </c>
      <c r="C159" s="82">
        <v>53042.3</v>
      </c>
      <c r="D159" s="88">
        <v>45912</v>
      </c>
    </row>
    <row r="160" spans="2:10" x14ac:dyDescent="0.25">
      <c r="B160" s="30">
        <v>19</v>
      </c>
      <c r="C160" s="82">
        <v>100071.36</v>
      </c>
      <c r="D160" s="88">
        <v>45926</v>
      </c>
    </row>
    <row r="161" spans="1:18" x14ac:dyDescent="0.25">
      <c r="B161" s="30">
        <v>20</v>
      </c>
      <c r="C161" s="82">
        <v>128083.89</v>
      </c>
      <c r="D161" s="88">
        <v>45940</v>
      </c>
    </row>
    <row r="162" spans="1:18" x14ac:dyDescent="0.25">
      <c r="B162" s="30">
        <v>21</v>
      </c>
      <c r="C162" s="86">
        <v>186449.97</v>
      </c>
      <c r="D162" s="88">
        <v>45954</v>
      </c>
    </row>
    <row r="163" spans="1:18" x14ac:dyDescent="0.25">
      <c r="B163" s="30">
        <v>22</v>
      </c>
      <c r="C163" s="82">
        <v>116405.51</v>
      </c>
      <c r="D163" s="88">
        <v>45968</v>
      </c>
    </row>
    <row r="164" spans="1:18" x14ac:dyDescent="0.25">
      <c r="B164" s="30">
        <v>23</v>
      </c>
      <c r="C164" s="82">
        <v>145829.70000000001</v>
      </c>
      <c r="D164" s="88">
        <v>45982</v>
      </c>
    </row>
    <row r="165" spans="1:18" x14ac:dyDescent="0.25">
      <c r="B165" s="30">
        <v>24</v>
      </c>
      <c r="C165" s="76">
        <v>77652.86</v>
      </c>
      <c r="D165" s="88">
        <v>45996</v>
      </c>
    </row>
    <row r="166" spans="1:18" x14ac:dyDescent="0.25">
      <c r="B166" s="30">
        <v>25</v>
      </c>
      <c r="C166" s="82">
        <v>91448.92</v>
      </c>
      <c r="D166" s="88">
        <v>46010</v>
      </c>
    </row>
    <row r="167" spans="1:18" x14ac:dyDescent="0.25">
      <c r="B167" s="30">
        <v>26</v>
      </c>
      <c r="C167" s="82">
        <v>66621.69</v>
      </c>
      <c r="D167" s="88">
        <v>46024</v>
      </c>
    </row>
    <row r="168" spans="1:18" x14ac:dyDescent="0.25">
      <c r="B168" s="30">
        <v>27</v>
      </c>
      <c r="C168" s="82">
        <v>53102.38</v>
      </c>
      <c r="D168" s="88">
        <v>46038</v>
      </c>
    </row>
    <row r="169" spans="1:18" x14ac:dyDescent="0.25">
      <c r="B169" s="30">
        <v>28</v>
      </c>
      <c r="C169" s="87">
        <v>88995.26</v>
      </c>
      <c r="D169" s="88">
        <v>46052</v>
      </c>
    </row>
    <row r="170" spans="1:18" x14ac:dyDescent="0.25">
      <c r="B170" s="30">
        <v>29</v>
      </c>
      <c r="C170" s="87">
        <v>92873.99</v>
      </c>
      <c r="D170" s="88"/>
    </row>
    <row r="171" spans="1:18" x14ac:dyDescent="0.25">
      <c r="A171"/>
      <c r="B171" s="35" t="s">
        <v>278</v>
      </c>
      <c r="C171" s="79">
        <f>SUM(C142:C170)</f>
        <v>2050042.7899999998</v>
      </c>
      <c r="D171" s="32"/>
      <c r="I171" s="33"/>
      <c r="K171"/>
      <c r="L171"/>
      <c r="M171"/>
      <c r="N171"/>
      <c r="O171"/>
      <c r="P171"/>
      <c r="Q171"/>
      <c r="R171"/>
    </row>
    <row r="172" spans="1:18" x14ac:dyDescent="0.25">
      <c r="C172" s="37"/>
      <c r="Q172" s="3" t="s">
        <v>279</v>
      </c>
    </row>
    <row r="173" spans="1:18" x14ac:dyDescent="0.25">
      <c r="C173" s="38"/>
      <c r="P173" s="3" t="str">
        <f t="shared" ref="P173:R175" si="113">B141</f>
        <v xml:space="preserve">SOLICITAÇÃO </v>
      </c>
      <c r="Q173" s="3" t="str">
        <f t="shared" si="113"/>
        <v xml:space="preserve">VALOR </v>
      </c>
      <c r="R173" s="3" t="str">
        <f t="shared" si="113"/>
        <v>MÊS</v>
      </c>
    </row>
    <row r="174" spans="1:18" x14ac:dyDescent="0.25">
      <c r="P174" s="3">
        <f t="shared" si="113"/>
        <v>1</v>
      </c>
      <c r="Q174" s="75">
        <f>C142</f>
        <v>36227.68</v>
      </c>
      <c r="R174" s="3">
        <f t="shared" si="113"/>
        <v>45576</v>
      </c>
    </row>
    <row r="175" spans="1:18" x14ac:dyDescent="0.25">
      <c r="P175" s="3">
        <f t="shared" si="113"/>
        <v>2</v>
      </c>
      <c r="Q175" s="75">
        <f>C143</f>
        <v>58915.23</v>
      </c>
      <c r="R175" s="3">
        <f t="shared" si="113"/>
        <v>45688</v>
      </c>
    </row>
    <row r="176" spans="1:18" x14ac:dyDescent="0.25">
      <c r="P176" s="3">
        <f t="shared" ref="P176" si="114">B144</f>
        <v>3</v>
      </c>
      <c r="Q176" s="75">
        <f>C144</f>
        <v>47960.25</v>
      </c>
      <c r="R176" s="3">
        <f t="shared" ref="R176" si="115">D144</f>
        <v>45702</v>
      </c>
    </row>
    <row r="177" spans="16:18" x14ac:dyDescent="0.25">
      <c r="P177" s="3">
        <f t="shared" ref="P177" si="116">B145</f>
        <v>4</v>
      </c>
      <c r="Q177" s="75">
        <f>C145</f>
        <v>73496.820000000007</v>
      </c>
      <c r="R177" s="3" t="s">
        <v>280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C77:D77"/>
    <mergeCell ref="C85:D85"/>
    <mergeCell ref="C90:D90"/>
    <mergeCell ref="C94:D94"/>
    <mergeCell ref="C125:D125"/>
    <mergeCell ref="C81:D81"/>
    <mergeCell ref="C108:D108"/>
    <mergeCell ref="C121:D121"/>
    <mergeCell ref="L6:N6"/>
    <mergeCell ref="B8:D8"/>
    <mergeCell ref="C9:D9"/>
    <mergeCell ref="C19:D19"/>
    <mergeCell ref="C34:D34"/>
    <mergeCell ref="I6:K6"/>
    <mergeCell ref="C41:D41"/>
    <mergeCell ref="C52:D52"/>
    <mergeCell ref="C59:D59"/>
    <mergeCell ref="C65:D65"/>
    <mergeCell ref="C74:D74"/>
    <mergeCell ref="C2:D5"/>
    <mergeCell ref="E2:F2"/>
    <mergeCell ref="G2:H2"/>
    <mergeCell ref="E3:F3"/>
    <mergeCell ref="F6:G6"/>
  </mergeCells>
  <phoneticPr fontId="5" type="noConversion"/>
  <conditionalFormatting sqref="P10:P18">
    <cfRule type="cellIs" dxfId="15" priority="44" operator="lessThan">
      <formula>0</formula>
    </cfRule>
  </conditionalFormatting>
  <conditionalFormatting sqref="P20:P33">
    <cfRule type="cellIs" dxfId="14" priority="43" operator="lessThan">
      <formula>0</formula>
    </cfRule>
  </conditionalFormatting>
  <conditionalFormatting sqref="P35:P40">
    <cfRule type="cellIs" dxfId="13" priority="42" operator="lessThan">
      <formula>0</formula>
    </cfRule>
  </conditionalFormatting>
  <conditionalFormatting sqref="P42:P51">
    <cfRule type="cellIs" dxfId="12" priority="39" operator="lessThan">
      <formula>0</formula>
    </cfRule>
  </conditionalFormatting>
  <conditionalFormatting sqref="P53:P58">
    <cfRule type="cellIs" dxfId="11" priority="37" operator="lessThan">
      <formula>0</formula>
    </cfRule>
  </conditionalFormatting>
  <conditionalFormatting sqref="P60:P64">
    <cfRule type="cellIs" dxfId="10" priority="34" operator="lessThan">
      <formula>0</formula>
    </cfRule>
  </conditionalFormatting>
  <conditionalFormatting sqref="P66:P73">
    <cfRule type="cellIs" dxfId="9" priority="28" operator="lessThan">
      <formula>0</formula>
    </cfRule>
  </conditionalFormatting>
  <conditionalFormatting sqref="P75:P76">
    <cfRule type="cellIs" dxfId="8" priority="53" operator="lessThan">
      <formula>0</formula>
    </cfRule>
  </conditionalFormatting>
  <conditionalFormatting sqref="P78:P80">
    <cfRule type="cellIs" dxfId="7" priority="52" operator="lessThan">
      <formula>0</formula>
    </cfRule>
  </conditionalFormatting>
  <conditionalFormatting sqref="P82:P84">
    <cfRule type="cellIs" dxfId="6" priority="27" operator="lessThan">
      <formula>0</formula>
    </cfRule>
  </conditionalFormatting>
  <conditionalFormatting sqref="P86:P89">
    <cfRule type="cellIs" dxfId="5" priority="50" operator="lessThan">
      <formula>0</formula>
    </cfRule>
  </conditionalFormatting>
  <conditionalFormatting sqref="P91:P93">
    <cfRule type="cellIs" dxfId="4" priority="112" operator="lessThan">
      <formula>0</formula>
    </cfRule>
  </conditionalFormatting>
  <conditionalFormatting sqref="P95:P107">
    <cfRule type="cellIs" dxfId="3" priority="22" operator="lessThan">
      <formula>0</formula>
    </cfRule>
  </conditionalFormatting>
  <conditionalFormatting sqref="P109:P120">
    <cfRule type="cellIs" dxfId="2" priority="19" operator="lessThan">
      <formula>0</formula>
    </cfRule>
  </conditionalFormatting>
  <conditionalFormatting sqref="P122:P124">
    <cfRule type="cellIs" dxfId="1" priority="46" operator="lessThan">
      <formula>0</formula>
    </cfRule>
  </conditionalFormatting>
  <conditionalFormatting sqref="P126:P139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43" fitToHeight="0" orientation="landscape" r:id="rId1"/>
  <rowBreaks count="1" manualBreakCount="1">
    <brk id="116" min="1" max="15" man="1"/>
  </rowBreaks>
  <ignoredErrors>
    <ignoredError sqref="B9 B90 B19 B41:D41 B65 B59 B52 B74 B77:D77 B81 B85 B94 B108 B121 D9 D121 D19 D52 D59 D65 D74 D81 D85 D90 D94 D108" formula="1"/>
    <ignoredError sqref="H125 H90 H36:I40 H41 H59 H53:I58 H60:I64 H42:I51 H66:I72 H74 H75:I76 H77 H78:I79 H81 I82:I84 H85 H86:I89 H91:I93 H96:I96 H108 H109:I120 H52 H123:I124 N90:O90 L20:L22 N59 N65 N85:O85 N108 N52 N87:O89 O21:O23 L95:L96 L91:L93 N81:O81 N77:O77 N74:O74 R65 L53:L58 R52:R59 L42:L51 L36:L40 L109:L124 L60:L64 L66:L72 L75:L76 L78:L80 L82:L84 L86:L89 N125:O125 Q108:R108 I80 L32:L33 R19:R26 N86:O86 Q41:R41 O28:O29 L28:L29 Q52 Q59 O32:O34 L35 R32:R35 R28:R29 O24:O26 L25:L26 H94:H95 H104:I106 I97 I122 N94:N95 Q94:Q95 L104:L106 L98:L102 H98:I102 R85:R102 N96:O102 N91:O93 N53:O58 N42:O51 N36:O40 N109:O124 N60:O64 N66:O72 N75:O76 N78:O80 N82:O84 N35:O35 N104:O106 Q85 Q87:Q89 Q21:Q23 Q81:R81 Q77:R77 Q74:R74 Q125:R125 Q96:Q102 Q91:Q93 Q53:Q58 Q42:R51 Q36:R40 Q109:R124 Q60:R64 Q66:R72 Q75:R76 Q78:R80 Q82:R84 Q104:R106" formula="1" unlockedFormula="1"/>
    <ignoredError sqref="R11:R17 E8:E9 E52 E108 K104:K106 E94 K86:K89 E85 E81 K78:K80 E77 K75:K76 E74 E65 K66:K72 E59 E41 E90 E121 O12:O16 O10 E125 K52 K108 K94 K91:K93 K85 K82:K84 K81 K77 K74 K65 K42:K51 K53:K64 K35:K40 K90 E19 K109:K124 K125 N8 K8 O17 O11 G8 K95:K102 Q12:Q16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7E5A-4317-441D-8B02-2179C641C798}">
  <dimension ref="A1:CD18"/>
  <sheetViews>
    <sheetView topLeftCell="A14" zoomScale="55" zoomScaleNormal="55" workbookViewId="0">
      <selection activeCell="B32" sqref="B32"/>
    </sheetView>
  </sheetViews>
  <sheetFormatPr defaultRowHeight="15" outlineLevelCol="2" x14ac:dyDescent="0.25"/>
  <cols>
    <col min="2" max="2" width="53" bestFit="1" customWidth="1"/>
    <col min="3" max="3" width="5.28515625" hidden="1" customWidth="1" outlineLevel="1"/>
    <col min="4" max="4" width="3.42578125" hidden="1" customWidth="1" outlineLevel="1"/>
    <col min="5" max="5" width="14.42578125" hidden="1" customWidth="1" outlineLevel="1"/>
    <col min="6" max="6" width="15.85546875" hidden="1" customWidth="1" outlineLevel="1"/>
    <col min="7" max="7" width="19.28515625" hidden="1" customWidth="1" outlineLevel="1"/>
    <col min="8" max="8" width="25" style="36" bestFit="1" customWidth="1" collapsed="1"/>
    <col min="9" max="9" width="27.85546875" style="58" customWidth="1" outlineLevel="1"/>
    <col min="10" max="10" width="6.42578125" customWidth="1" outlineLevel="2"/>
    <col min="11" max="11" width="21.5703125" style="63" customWidth="1" outlineLevel="1"/>
    <col min="12" max="12" width="24.28515625" style="69" customWidth="1" outlineLevel="1"/>
    <col min="13" max="13" width="8.5703125" customWidth="1" outlineLevel="2"/>
    <col min="14" max="14" width="26.42578125" customWidth="1" outlineLevel="1"/>
    <col min="15" max="15" width="17.5703125" customWidth="1"/>
    <col min="16" max="16" width="19.42578125" style="66" customWidth="1" outlineLevel="1"/>
    <col min="17" max="17" width="19.5703125" style="36" customWidth="1" outlineLevel="1"/>
    <col min="18" max="18" width="19.5703125" style="74" customWidth="1" outlineLevel="1"/>
    <col min="19" max="19" width="20.85546875" style="69" customWidth="1" outlineLevel="1"/>
    <col min="20" max="20" width="21.140625" style="58" customWidth="1" outlineLevel="1"/>
    <col min="21" max="21" width="19.85546875" style="66" customWidth="1" outlineLevel="1"/>
    <col min="22" max="22" width="20.140625" style="36" customWidth="1" outlineLevel="1"/>
    <col min="23" max="23" width="23" style="69" customWidth="1" outlineLevel="1"/>
    <col min="24" max="24" width="23.28515625" style="58" customWidth="1" outlineLevel="1"/>
    <col min="25" max="25" width="30.5703125" style="66" customWidth="1" outlineLevel="1"/>
    <col min="26" max="26" width="22.28515625" style="36" customWidth="1" outlineLevel="1"/>
    <col min="27" max="27" width="24.5703125" style="69" customWidth="1" outlineLevel="1"/>
    <col min="28" max="28" width="24.85546875" style="58" customWidth="1" outlineLevel="1"/>
    <col min="29" max="29" width="30.5703125" style="66" customWidth="1" outlineLevel="1"/>
    <col min="30" max="30" width="22.28515625" style="36" customWidth="1" outlineLevel="1"/>
    <col min="31" max="31" width="24.5703125" style="69" customWidth="1" outlineLevel="1"/>
    <col min="32" max="32" width="24.85546875" style="58" customWidth="1" outlineLevel="1"/>
    <col min="33" max="33" width="30.5703125" style="66" customWidth="1" outlineLevel="1"/>
    <col min="34" max="34" width="22.28515625" style="36" customWidth="1" outlineLevel="1"/>
    <col min="35" max="35" width="24.5703125" style="69" customWidth="1" outlineLevel="1"/>
    <col min="36" max="36" width="24.85546875" style="58" customWidth="1" outlineLevel="1"/>
    <col min="37" max="37" width="30.5703125" style="66" customWidth="1" outlineLevel="1"/>
    <col min="38" max="38" width="22.28515625" style="36" customWidth="1" outlineLevel="1"/>
    <col min="39" max="39" width="24.5703125" style="69" customWidth="1" outlineLevel="1"/>
    <col min="40" max="40" width="24.85546875" style="58" customWidth="1" outlineLevel="1"/>
    <col min="41" max="41" width="30.5703125" style="66" customWidth="1" outlineLevel="1"/>
    <col min="42" max="42" width="22.28515625" style="36" customWidth="1" outlineLevel="1"/>
    <col min="43" max="43" width="24.5703125" style="69" customWidth="1" outlineLevel="1"/>
    <col min="44" max="44" width="24.85546875" style="58" customWidth="1" outlineLevel="1"/>
    <col min="45" max="45" width="30.5703125" style="66" customWidth="1" outlineLevel="1"/>
    <col min="46" max="46" width="22.28515625" style="36" customWidth="1" outlineLevel="1"/>
    <col min="47" max="47" width="24.5703125" style="69" customWidth="1" outlineLevel="1"/>
    <col min="48" max="48" width="24.85546875" style="58" customWidth="1" outlineLevel="1"/>
    <col min="49" max="49" width="30.5703125" style="66" customWidth="1" outlineLevel="1"/>
    <col min="50" max="50" width="22.28515625" style="36" customWidth="1" outlineLevel="1"/>
    <col min="51" max="51" width="24.5703125" style="69" customWidth="1" outlineLevel="1"/>
    <col min="52" max="52" width="24.85546875" style="58" customWidth="1" outlineLevel="1"/>
    <col min="53" max="53" width="30.5703125" style="66" customWidth="1" outlineLevel="1"/>
    <col min="54" max="54" width="22.28515625" style="36" customWidth="1" outlineLevel="1"/>
    <col min="55" max="55" width="24.5703125" style="69" customWidth="1" outlineLevel="1"/>
    <col min="56" max="56" width="24.85546875" style="58" customWidth="1" outlineLevel="1"/>
    <col min="57" max="57" width="30.5703125" style="66" customWidth="1" outlineLevel="1"/>
    <col min="58" max="58" width="22.28515625" style="36" customWidth="1" outlineLevel="1"/>
    <col min="59" max="59" width="24.5703125" style="69" customWidth="1" outlineLevel="1"/>
    <col min="60" max="60" width="24.85546875" style="58" customWidth="1" outlineLevel="1"/>
    <col min="61" max="61" width="30.5703125" style="66" customWidth="1" outlineLevel="1"/>
    <col min="62" max="62" width="22.28515625" style="36" customWidth="1" outlineLevel="1"/>
    <col min="63" max="63" width="24.5703125" style="69" customWidth="1" outlineLevel="1"/>
    <col min="64" max="64" width="24.85546875" style="58" customWidth="1" outlineLevel="1"/>
    <col min="65" max="65" width="30.5703125" style="66" customWidth="1" outlineLevel="1"/>
    <col min="66" max="66" width="22.28515625" style="36" customWidth="1" outlineLevel="1"/>
    <col min="67" max="67" width="24.5703125" style="69" customWidth="1" outlineLevel="1"/>
    <col min="68" max="68" width="24.85546875" style="58" customWidth="1" outlineLevel="1"/>
    <col min="69" max="69" width="30.5703125" style="66" customWidth="1" outlineLevel="1"/>
    <col min="70" max="70" width="22.28515625" style="36" customWidth="1" outlineLevel="1"/>
    <col min="71" max="71" width="24.5703125" style="69" customWidth="1" outlineLevel="1"/>
    <col min="72" max="72" width="24.85546875" style="58" customWidth="1" outlineLevel="1"/>
    <col min="73" max="73" width="30.5703125" style="66" customWidth="1" outlineLevel="1"/>
    <col min="74" max="74" width="22.28515625" style="36" customWidth="1" outlineLevel="1"/>
    <col min="75" max="75" width="24.5703125" style="69" customWidth="1" outlineLevel="1"/>
    <col min="76" max="76" width="24.85546875" style="58" customWidth="1" outlineLevel="1"/>
    <col min="79" max="79" width="15.42578125" bestFit="1" customWidth="1"/>
    <col min="81" max="81" width="15.42578125" bestFit="1" customWidth="1"/>
  </cols>
  <sheetData>
    <row r="1" spans="1:82" ht="15.75" thickBot="1" x14ac:dyDescent="0.3">
      <c r="A1" s="10" t="str">
        <f>'BASE OFICIAL'!B7</f>
        <v>ITEM</v>
      </c>
      <c r="B1" s="11" t="str">
        <f>'BASE OFICIAL'!C7</f>
        <v>DESCRICAO</v>
      </c>
      <c r="C1" s="12" t="str">
        <f>'BASE OFICIAL'!D7</f>
        <v>UND</v>
      </c>
      <c r="D1" s="12" t="str">
        <f>'BASE OFICIAL'!E7</f>
        <v>QTD</v>
      </c>
      <c r="E1" s="10" t="str">
        <f>'BASE OFICIAL'!F7</f>
        <v>MATERIAIS</v>
      </c>
      <c r="F1" s="13" t="str">
        <f>'BASE OFICIAL'!G7</f>
        <v>MÃO DE OBRA</v>
      </c>
      <c r="G1" s="13" t="str">
        <f>'BASE OFICIAL'!H7</f>
        <v>ORÇAMENTO UNIT</v>
      </c>
      <c r="H1" s="53" t="s">
        <v>281</v>
      </c>
      <c r="I1" s="56" t="s">
        <v>282</v>
      </c>
      <c r="J1" s="13" t="str">
        <f>'BASE OFICIAL'!K7</f>
        <v>%</v>
      </c>
      <c r="K1" s="61" t="s">
        <v>283</v>
      </c>
      <c r="L1" s="67" t="s">
        <v>284</v>
      </c>
      <c r="M1" s="13" t="str">
        <f>'BASE OFICIAL'!N7</f>
        <v>%</v>
      </c>
      <c r="N1" s="13" t="str">
        <f>'BASE OFICIAL'!O7</f>
        <v>ORÇAMENTO TOTAL</v>
      </c>
      <c r="O1" s="13" t="str">
        <f>'BASE OFICIAL'!P7</f>
        <v xml:space="preserve">SALDO </v>
      </c>
      <c r="P1" s="64" t="s">
        <v>285</v>
      </c>
      <c r="Q1" s="55" t="s">
        <v>286</v>
      </c>
      <c r="R1" s="72" t="s">
        <v>287</v>
      </c>
      <c r="S1" s="70" t="s">
        <v>288</v>
      </c>
      <c r="T1" s="59" t="s">
        <v>289</v>
      </c>
      <c r="U1" s="64" t="s">
        <v>290</v>
      </c>
      <c r="V1" s="55" t="s">
        <v>291</v>
      </c>
      <c r="W1" s="70" t="s">
        <v>292</v>
      </c>
      <c r="X1" s="59" t="s">
        <v>293</v>
      </c>
      <c r="Y1" s="64" t="s">
        <v>294</v>
      </c>
      <c r="Z1" s="55" t="s">
        <v>295</v>
      </c>
      <c r="AA1" s="70" t="s">
        <v>296</v>
      </c>
      <c r="AB1" s="59" t="s">
        <v>297</v>
      </c>
      <c r="AC1" s="64" t="s">
        <v>298</v>
      </c>
      <c r="AD1" s="55" t="s">
        <v>299</v>
      </c>
      <c r="AE1" s="70" t="s">
        <v>300</v>
      </c>
      <c r="AF1" s="59" t="s">
        <v>301</v>
      </c>
      <c r="AG1" s="64" t="s">
        <v>294</v>
      </c>
      <c r="AH1" s="55" t="s">
        <v>295</v>
      </c>
      <c r="AI1" s="70" t="s">
        <v>296</v>
      </c>
      <c r="AJ1" s="59" t="s">
        <v>297</v>
      </c>
      <c r="AK1" s="64" t="s">
        <v>302</v>
      </c>
      <c r="AL1" s="55" t="s">
        <v>303</v>
      </c>
      <c r="AM1" s="70" t="s">
        <v>304</v>
      </c>
      <c r="AN1" s="59" t="s">
        <v>305</v>
      </c>
      <c r="AO1" s="64" t="s">
        <v>306</v>
      </c>
      <c r="AP1" s="55" t="s">
        <v>307</v>
      </c>
      <c r="AQ1" s="70" t="s">
        <v>308</v>
      </c>
      <c r="AR1" s="59" t="s">
        <v>309</v>
      </c>
      <c r="AS1" s="64" t="s">
        <v>310</v>
      </c>
      <c r="AT1" s="55" t="s">
        <v>311</v>
      </c>
      <c r="AU1" s="70" t="s">
        <v>312</v>
      </c>
      <c r="AV1" s="59" t="s">
        <v>313</v>
      </c>
      <c r="AW1" s="64" t="s">
        <v>314</v>
      </c>
      <c r="AX1" s="55" t="s">
        <v>315</v>
      </c>
      <c r="AY1" s="70" t="s">
        <v>316</v>
      </c>
      <c r="AZ1" s="59" t="s">
        <v>317</v>
      </c>
      <c r="BA1" s="64" t="s">
        <v>318</v>
      </c>
      <c r="BB1" s="55" t="s">
        <v>319</v>
      </c>
      <c r="BC1" s="70" t="s">
        <v>320</v>
      </c>
      <c r="BD1" s="59" t="s">
        <v>321</v>
      </c>
      <c r="BE1" s="64" t="s">
        <v>322</v>
      </c>
      <c r="BF1" s="55" t="s">
        <v>323</v>
      </c>
      <c r="BG1" s="70" t="s">
        <v>324</v>
      </c>
      <c r="BH1" s="59" t="s">
        <v>325</v>
      </c>
      <c r="BI1" s="64" t="s">
        <v>326</v>
      </c>
      <c r="BJ1" s="55" t="s">
        <v>327</v>
      </c>
      <c r="BK1" s="70" t="s">
        <v>328</v>
      </c>
      <c r="BL1" s="59" t="s">
        <v>329</v>
      </c>
      <c r="BM1" s="64" t="s">
        <v>330</v>
      </c>
      <c r="BN1" s="55" t="s">
        <v>331</v>
      </c>
      <c r="BO1" s="70" t="s">
        <v>332</v>
      </c>
      <c r="BP1" s="59" t="s">
        <v>333</v>
      </c>
      <c r="BQ1" s="64" t="s">
        <v>334</v>
      </c>
      <c r="BR1" s="55" t="s">
        <v>335</v>
      </c>
      <c r="BS1" s="70" t="s">
        <v>336</v>
      </c>
      <c r="BT1" s="59" t="s">
        <v>337</v>
      </c>
      <c r="BU1" s="64" t="s">
        <v>338</v>
      </c>
      <c r="BV1" s="55" t="s">
        <v>339</v>
      </c>
      <c r="BW1" s="70" t="s">
        <v>340</v>
      </c>
      <c r="BX1" s="59" t="s">
        <v>341</v>
      </c>
      <c r="BY1" t="s">
        <v>342</v>
      </c>
      <c r="BZ1" t="s">
        <v>343</v>
      </c>
      <c r="CD1" t="s">
        <v>344</v>
      </c>
    </row>
    <row r="2" spans="1:82" ht="18" customHeight="1" thickBot="1" x14ac:dyDescent="0.3">
      <c r="A2" s="17">
        <f>'BASE OFICIAL'!B9</f>
        <v>1</v>
      </c>
      <c r="B2" s="51" t="str">
        <f>'BASE OFICIAL'!C9</f>
        <v>SERVIÇOS PRELIMINARES</v>
      </c>
      <c r="C2" s="52">
        <f>'BASE OFICIAL'!D9</f>
        <v>0</v>
      </c>
      <c r="D2" s="18">
        <f>'BASE OFICIAL'!E9</f>
        <v>1681.4</v>
      </c>
      <c r="E2" s="19">
        <f>'BASE OFICIAL'!F9</f>
        <v>7357.18</v>
      </c>
      <c r="F2" s="19">
        <f>'BASE OFICIAL'!G9</f>
        <v>6798.4699999999993</v>
      </c>
      <c r="G2" s="19">
        <f>'BASE OFICIAL'!H9</f>
        <v>58643.173999999999</v>
      </c>
      <c r="H2" s="54">
        <f>'BASE OFICIAL'!I9</f>
        <v>35228.244000000006</v>
      </c>
      <c r="I2" s="57">
        <f>'BASE OFICIAL'!J9</f>
        <v>0</v>
      </c>
      <c r="J2" s="20" t="e">
        <f>'BASE OFICIAL'!K9</f>
        <v>#DIV/0!</v>
      </c>
      <c r="K2" s="62">
        <f>'BASE OFICIAL'!L9</f>
        <v>58643.173999999999</v>
      </c>
      <c r="L2" s="68">
        <f>'BASE OFICIAL'!M9</f>
        <v>0</v>
      </c>
      <c r="M2" s="20" t="e">
        <f>'BASE OFICIAL'!N9</f>
        <v>#DIV/0!</v>
      </c>
      <c r="N2" s="19">
        <f>'BASE OFICIAL'!O9</f>
        <v>93871.418000000005</v>
      </c>
      <c r="O2" s="19">
        <f>'BASE OFICIAL'!P9</f>
        <v>0</v>
      </c>
      <c r="P2" s="65">
        <f>$K2</f>
        <v>58643.173999999999</v>
      </c>
      <c r="Q2" s="54">
        <f>$H2</f>
        <v>35228.244000000006</v>
      </c>
      <c r="R2" s="73">
        <f>P2+Q2</f>
        <v>93871.418000000005</v>
      </c>
      <c r="S2" s="71">
        <f>$L2</f>
        <v>0</v>
      </c>
      <c r="T2" s="60">
        <f>$I2</f>
        <v>0</v>
      </c>
      <c r="U2" s="65">
        <f>$K5</f>
        <v>65432.829200000007</v>
      </c>
      <c r="V2" s="54">
        <f>$H5</f>
        <v>107742.4552</v>
      </c>
      <c r="W2" s="71">
        <f>$L5</f>
        <v>0</v>
      </c>
      <c r="X2" s="60">
        <f>$I5</f>
        <v>0</v>
      </c>
      <c r="Y2" s="65">
        <f>$K4</f>
        <v>199902.17600000001</v>
      </c>
      <c r="Z2" s="54">
        <f>$H4</f>
        <v>103630.63400000001</v>
      </c>
      <c r="AA2" s="71">
        <f>$L4</f>
        <v>0</v>
      </c>
      <c r="AB2" s="60">
        <f>$I4</f>
        <v>0</v>
      </c>
      <c r="AC2" s="65">
        <f>$K5</f>
        <v>65432.829200000007</v>
      </c>
      <c r="AD2" s="54">
        <f>$H5</f>
        <v>107742.4552</v>
      </c>
      <c r="AE2" s="71">
        <f>$L5</f>
        <v>0</v>
      </c>
      <c r="AF2" s="60">
        <f>$I5</f>
        <v>0</v>
      </c>
      <c r="AG2" s="65">
        <f>$K6</f>
        <v>76914</v>
      </c>
      <c r="AH2" s="54">
        <f>$H6</f>
        <v>183374.25880000001</v>
      </c>
      <c r="AI2" s="71">
        <f>$L6</f>
        <v>0</v>
      </c>
      <c r="AJ2" s="60">
        <f>$I6</f>
        <v>0</v>
      </c>
      <c r="AK2" s="65">
        <f>$K7</f>
        <v>16735.740700000002</v>
      </c>
      <c r="AL2" s="54">
        <f>$H7</f>
        <v>66796.81</v>
      </c>
      <c r="AM2" s="71">
        <f>$L7</f>
        <v>0</v>
      </c>
      <c r="AN2" s="60">
        <f>$I7</f>
        <v>0</v>
      </c>
      <c r="AO2" s="65">
        <f>$K8</f>
        <v>25794.012900000002</v>
      </c>
      <c r="AP2" s="54">
        <f>$H8</f>
        <v>98538.747499999998</v>
      </c>
      <c r="AQ2" s="71">
        <f>$L8</f>
        <v>0</v>
      </c>
      <c r="AR2" s="60">
        <f>$I8</f>
        <v>0</v>
      </c>
      <c r="AS2" s="65">
        <f>$K9</f>
        <v>712.32</v>
      </c>
      <c r="AT2" s="54">
        <f>$H9</f>
        <v>1413.75</v>
      </c>
      <c r="AU2" s="71">
        <f>$L9</f>
        <v>0</v>
      </c>
      <c r="AV2" s="60">
        <f>$I9</f>
        <v>0</v>
      </c>
      <c r="AW2" s="65">
        <f>$K10</f>
        <v>1959.75</v>
      </c>
      <c r="AX2" s="54">
        <f>$H10</f>
        <v>13879.35</v>
      </c>
      <c r="AY2" s="71">
        <f>$L10</f>
        <v>0</v>
      </c>
      <c r="AZ2" s="60">
        <f>$I10</f>
        <v>0</v>
      </c>
      <c r="BA2" s="65">
        <f>$K11</f>
        <v>956</v>
      </c>
      <c r="BB2" s="54">
        <f>$H11</f>
        <v>4339</v>
      </c>
      <c r="BC2" s="71">
        <f>$L11</f>
        <v>0</v>
      </c>
      <c r="BD2" s="60">
        <f>$I11</f>
        <v>0</v>
      </c>
      <c r="BE2" s="65">
        <f>$K12</f>
        <v>48922.229500000001</v>
      </c>
      <c r="BF2" s="54">
        <f>$H12</f>
        <v>42479.170570000002</v>
      </c>
      <c r="BG2" s="71">
        <f>$L12</f>
        <v>0</v>
      </c>
      <c r="BH2" s="60">
        <f>$I12</f>
        <v>0</v>
      </c>
      <c r="BI2" s="65">
        <f>$K13</f>
        <v>109457.06408000001</v>
      </c>
      <c r="BJ2" s="54">
        <f>$H13</f>
        <v>74168.864000000001</v>
      </c>
      <c r="BK2" s="71">
        <f>$L13</f>
        <v>0</v>
      </c>
      <c r="BL2" s="60">
        <f>$I13</f>
        <v>0</v>
      </c>
      <c r="BM2" s="65">
        <f>$K14</f>
        <v>93910.5</v>
      </c>
      <c r="BN2" s="54">
        <f>$H14</f>
        <v>16024</v>
      </c>
      <c r="BO2" s="71">
        <f>$L14</f>
        <v>0</v>
      </c>
      <c r="BP2" s="60">
        <f>$I14</f>
        <v>0</v>
      </c>
      <c r="BQ2" s="65">
        <f>$K15</f>
        <v>134094</v>
      </c>
      <c r="BR2" s="54">
        <f>$H15</f>
        <v>71105</v>
      </c>
      <c r="BS2" s="71">
        <f>$L15</f>
        <v>0</v>
      </c>
      <c r="BT2" s="60">
        <f>$I15</f>
        <v>0</v>
      </c>
      <c r="BU2" s="65">
        <f>$K16</f>
        <v>0</v>
      </c>
      <c r="BV2" s="54">
        <f>$H16</f>
        <v>78400</v>
      </c>
      <c r="BW2" s="71">
        <f>$L16</f>
        <v>0</v>
      </c>
      <c r="BX2" s="60">
        <f>$I16</f>
        <v>0</v>
      </c>
      <c r="CD2">
        <f>SUM(CA:CA)</f>
        <v>0</v>
      </c>
    </row>
    <row r="3" spans="1:82" ht="15.75" thickBot="1" x14ac:dyDescent="0.3">
      <c r="A3" s="17">
        <f>'BASE OFICIAL'!B19</f>
        <v>2</v>
      </c>
      <c r="B3" s="51" t="str">
        <f>'BASE OFICIAL'!C19</f>
        <v xml:space="preserve">FUNDAÇÕES EM SAPATAS, LAJE DE PISO </v>
      </c>
      <c r="C3" s="52">
        <f>'BASE OFICIAL'!D19</f>
        <v>0</v>
      </c>
      <c r="D3" s="18">
        <f>'BASE OFICIAL'!E19</f>
        <v>4111.74</v>
      </c>
      <c r="E3" s="19">
        <f>'BASE OFICIAL'!F19</f>
        <v>0</v>
      </c>
      <c r="F3" s="19">
        <f>'BASE OFICIAL'!G19</f>
        <v>0</v>
      </c>
      <c r="G3" s="19">
        <f>'BASE OFICIAL'!H19</f>
        <v>185580.70360000001</v>
      </c>
      <c r="H3" s="54">
        <f>'BASE OFICIAL'!I19</f>
        <v>176404.95070000002</v>
      </c>
      <c r="I3" s="57">
        <f>'BASE OFICIAL'!J19</f>
        <v>0</v>
      </c>
      <c r="J3" s="20" t="e">
        <f>'BASE OFICIAL'!K19</f>
        <v>#DIV/0!</v>
      </c>
      <c r="K3" s="62">
        <f>'BASE OFICIAL'!L19</f>
        <v>191827.3836</v>
      </c>
      <c r="L3" s="68">
        <f>'BASE OFICIAL'!M19</f>
        <v>0</v>
      </c>
      <c r="M3" s="20" t="e">
        <f>'BASE OFICIAL'!N19</f>
        <v>#DIV/0!</v>
      </c>
      <c r="N3" s="19">
        <f>'BASE OFICIAL'!O19</f>
        <v>368232.33430000005</v>
      </c>
      <c r="O3" s="19">
        <f>'BASE OFICIAL'!P19</f>
        <v>0</v>
      </c>
    </row>
    <row r="4" spans="1:82" ht="15.75" thickBot="1" x14ac:dyDescent="0.3">
      <c r="A4" s="17">
        <f>'BASE OFICIAL'!B34</f>
        <v>3</v>
      </c>
      <c r="B4" s="51" t="str">
        <f>'BASE OFICIAL'!C34</f>
        <v>SUPRA ESTRUTURA (ESTIMATIVA SEM PROJETO)</v>
      </c>
      <c r="C4" s="52" t="str">
        <f>'BASE OFICIAL'!D34</f>
        <v>vb</v>
      </c>
      <c r="D4" s="18">
        <f>'BASE OFICIAL'!E34</f>
        <v>1</v>
      </c>
      <c r="E4" s="19">
        <f>'BASE OFICIAL'!F34</f>
        <v>8569</v>
      </c>
      <c r="F4" s="19">
        <f>'BASE OFICIAL'!G34</f>
        <v>4859</v>
      </c>
      <c r="G4" s="19">
        <f>'BASE OFICIAL'!H34</f>
        <v>8569</v>
      </c>
      <c r="H4" s="54">
        <f>'BASE OFICIAL'!I34</f>
        <v>103630.63400000001</v>
      </c>
      <c r="I4" s="57">
        <f>'BASE OFICIAL'!J34</f>
        <v>0</v>
      </c>
      <c r="J4" s="20">
        <f>'BASE OFICIAL'!K34</f>
        <v>0</v>
      </c>
      <c r="K4" s="62">
        <f>'BASE OFICIAL'!L34</f>
        <v>199902.17600000001</v>
      </c>
      <c r="L4" s="68">
        <f>'BASE OFICIAL'!M34</f>
        <v>0</v>
      </c>
      <c r="M4" s="20">
        <f>'BASE OFICIAL'!N34</f>
        <v>0</v>
      </c>
      <c r="N4" s="19">
        <f>'BASE OFICIAL'!O34</f>
        <v>303532.81</v>
      </c>
      <c r="O4" s="19">
        <f>'BASE OFICIAL'!P34</f>
        <v>0</v>
      </c>
    </row>
    <row r="5" spans="1:82" ht="15.75" thickBot="1" x14ac:dyDescent="0.3">
      <c r="A5" s="17">
        <f>'BASE OFICIAL'!B41</f>
        <v>4</v>
      </c>
      <c r="B5" s="51" t="str">
        <f>'BASE OFICIAL'!C41</f>
        <v>ALVENARIAS E FECHAMENTOS</v>
      </c>
      <c r="C5" s="52">
        <f>'BASE OFICIAL'!D41</f>
        <v>0</v>
      </c>
      <c r="D5" s="18">
        <f>'BASE OFICIAL'!E41</f>
        <v>3663.1099999999997</v>
      </c>
      <c r="E5" s="19">
        <f>'BASE OFICIAL'!F41</f>
        <v>0</v>
      </c>
      <c r="F5" s="19">
        <f>'BASE OFICIAL'!G41</f>
        <v>0</v>
      </c>
      <c r="G5" s="19">
        <f>'BASE OFICIAL'!H41</f>
        <v>42488.34</v>
      </c>
      <c r="H5" s="54">
        <f>'BASE OFICIAL'!I41</f>
        <v>107742.4552</v>
      </c>
      <c r="I5" s="57">
        <f>'BASE OFICIAL'!J41</f>
        <v>0</v>
      </c>
      <c r="J5" s="20">
        <f>'BASE OFICIAL'!K41</f>
        <v>0</v>
      </c>
      <c r="K5" s="62">
        <f>'BASE OFICIAL'!L41</f>
        <v>65432.829200000007</v>
      </c>
      <c r="L5" s="68">
        <f>'BASE OFICIAL'!M41</f>
        <v>0</v>
      </c>
      <c r="M5" s="20">
        <f>'BASE OFICIAL'!N41</f>
        <v>0</v>
      </c>
      <c r="N5" s="19">
        <f>'BASE OFICIAL'!O41</f>
        <v>173175.2844</v>
      </c>
      <c r="O5" s="19">
        <f>'BASE OFICIAL'!P41</f>
        <v>0</v>
      </c>
    </row>
    <row r="6" spans="1:82" ht="15.75" thickBot="1" x14ac:dyDescent="0.3">
      <c r="A6" s="17" t="str">
        <f>'BASE OFICIAL'!B52</f>
        <v>5.1</v>
      </c>
      <c r="B6" s="51" t="str">
        <f>'BASE OFICIAL'!C52</f>
        <v>REVESTIMENTOS PAREDE</v>
      </c>
      <c r="C6" s="52">
        <f>'BASE OFICIAL'!D52</f>
        <v>0</v>
      </c>
      <c r="D6" s="18">
        <f>'BASE OFICIAL'!E52</f>
        <v>10130.57</v>
      </c>
      <c r="E6" s="19">
        <f>'BASE OFICIAL'!F52</f>
        <v>0</v>
      </c>
      <c r="F6" s="19">
        <f>'BASE OFICIAL'!G52</f>
        <v>0</v>
      </c>
      <c r="G6" s="19">
        <f>'BASE OFICIAL'!H52</f>
        <v>308.22000000000003</v>
      </c>
      <c r="H6" s="54">
        <f>'BASE OFICIAL'!I52</f>
        <v>183374.25880000001</v>
      </c>
      <c r="I6" s="57">
        <f>'BASE OFICIAL'!J52</f>
        <v>0</v>
      </c>
      <c r="J6" s="20">
        <f>'BASE OFICIAL'!K52</f>
        <v>0</v>
      </c>
      <c r="K6" s="62">
        <f>'BASE OFICIAL'!L52</f>
        <v>76914</v>
      </c>
      <c r="L6" s="68">
        <f>'BASE OFICIAL'!M52</f>
        <v>0</v>
      </c>
      <c r="M6" s="20">
        <f>'BASE OFICIAL'!N52</f>
        <v>0</v>
      </c>
      <c r="N6" s="19">
        <f>'BASE OFICIAL'!O52</f>
        <v>260288.25879999998</v>
      </c>
      <c r="O6" s="19">
        <f>'BASE OFICIAL'!P52</f>
        <v>0</v>
      </c>
    </row>
    <row r="7" spans="1:82" ht="15.75" thickBot="1" x14ac:dyDescent="0.3">
      <c r="A7" s="17" t="str">
        <f>'BASE OFICIAL'!B59</f>
        <v>5.2</v>
      </c>
      <c r="B7" s="51" t="str">
        <f>'BASE OFICIAL'!C59</f>
        <v>REVESTIMENTOS TETO</v>
      </c>
      <c r="C7" s="52">
        <f>'BASE OFICIAL'!D59</f>
        <v>0</v>
      </c>
      <c r="D7" s="18">
        <f>'BASE OFICIAL'!E59</f>
        <v>1205.0124761904763</v>
      </c>
      <c r="E7" s="19">
        <f>'BASE OFICIAL'!F59</f>
        <v>0</v>
      </c>
      <c r="F7" s="19">
        <f>'BASE OFICIAL'!G59</f>
        <v>0</v>
      </c>
      <c r="G7" s="19">
        <f>'BASE OFICIAL'!H59</f>
        <v>3270.79</v>
      </c>
      <c r="H7" s="54">
        <f>'BASE OFICIAL'!I59</f>
        <v>66796.81</v>
      </c>
      <c r="I7" s="57">
        <f>'BASE OFICIAL'!J59</f>
        <v>0</v>
      </c>
      <c r="J7" s="20">
        <f>'BASE OFICIAL'!K59</f>
        <v>0</v>
      </c>
      <c r="K7" s="62">
        <f>'BASE OFICIAL'!L59</f>
        <v>16735.740700000002</v>
      </c>
      <c r="L7" s="68">
        <f>'BASE OFICIAL'!M59</f>
        <v>0</v>
      </c>
      <c r="M7" s="20">
        <f>'BASE OFICIAL'!N59</f>
        <v>0</v>
      </c>
      <c r="N7" s="19">
        <f>'BASE OFICIAL'!O59</f>
        <v>83532.550700000007</v>
      </c>
      <c r="O7" s="19">
        <f>'BASE OFICIAL'!P59</f>
        <v>0</v>
      </c>
    </row>
    <row r="8" spans="1:82" ht="15.75" thickBot="1" x14ac:dyDescent="0.3">
      <c r="A8" s="17">
        <f>'BASE OFICIAL'!B65</f>
        <v>6</v>
      </c>
      <c r="B8" s="51" t="str">
        <f>'BASE OFICIAL'!C65</f>
        <v>PAVIMENTAÇÃO</v>
      </c>
      <c r="C8" s="52">
        <f>'BASE OFICIAL'!D65</f>
        <v>0</v>
      </c>
      <c r="D8" s="18">
        <f>'BASE OFICIAL'!E65</f>
        <v>3086.39</v>
      </c>
      <c r="E8" s="19">
        <f>'BASE OFICIAL'!F65</f>
        <v>0</v>
      </c>
      <c r="F8" s="19">
        <f>'BASE OFICIAL'!G65</f>
        <v>0</v>
      </c>
      <c r="G8" s="19">
        <f>'BASE OFICIAL'!H65</f>
        <v>417.88</v>
      </c>
      <c r="H8" s="54">
        <f>'BASE OFICIAL'!I65</f>
        <v>98538.747499999998</v>
      </c>
      <c r="I8" s="57">
        <f>'BASE OFICIAL'!J65</f>
        <v>0</v>
      </c>
      <c r="J8" s="20">
        <f>'BASE OFICIAL'!K65</f>
        <v>0</v>
      </c>
      <c r="K8" s="62">
        <f>'BASE OFICIAL'!L65</f>
        <v>25794.012900000002</v>
      </c>
      <c r="L8" s="68">
        <f>'BASE OFICIAL'!M65</f>
        <v>0</v>
      </c>
      <c r="M8" s="20">
        <f>'BASE OFICIAL'!N65</f>
        <v>0</v>
      </c>
      <c r="N8" s="19">
        <f>'BASE OFICIAL'!O65</f>
        <v>124332.76039999998</v>
      </c>
      <c r="O8" s="19">
        <f>'BASE OFICIAL'!P65</f>
        <v>0</v>
      </c>
    </row>
    <row r="9" spans="1:82" ht="15.75" thickBot="1" x14ac:dyDescent="0.3">
      <c r="A9" s="17" t="str">
        <f>'BASE OFICIAL'!B74</f>
        <v>7.1</v>
      </c>
      <c r="B9" s="51" t="str">
        <f>'BASE OFICIAL'!C74</f>
        <v>FILETE DE BOX E SOLEIRA</v>
      </c>
      <c r="C9" s="52">
        <f>'BASE OFICIAL'!D74</f>
        <v>0</v>
      </c>
      <c r="D9" s="18">
        <f>'BASE OFICIAL'!E74</f>
        <v>42.260000000000005</v>
      </c>
      <c r="E9" s="19">
        <f>'BASE OFICIAL'!F74</f>
        <v>0</v>
      </c>
      <c r="F9" s="19">
        <f>'BASE OFICIAL'!G74</f>
        <v>0</v>
      </c>
      <c r="G9" s="19">
        <f>'BASE OFICIAL'!H74</f>
        <v>101</v>
      </c>
      <c r="H9" s="54">
        <f>'BASE OFICIAL'!I74</f>
        <v>1413.75</v>
      </c>
      <c r="I9" s="57">
        <f>'BASE OFICIAL'!J74</f>
        <v>0</v>
      </c>
      <c r="J9" s="20">
        <f>'BASE OFICIAL'!K74</f>
        <v>0</v>
      </c>
      <c r="K9" s="62">
        <f>'BASE OFICIAL'!L74</f>
        <v>712.32</v>
      </c>
      <c r="L9" s="68">
        <f>'BASE OFICIAL'!M74</f>
        <v>0</v>
      </c>
      <c r="M9" s="20">
        <f>'BASE OFICIAL'!N74</f>
        <v>0</v>
      </c>
      <c r="N9" s="19">
        <f>'BASE OFICIAL'!O74</f>
        <v>2126.0700000000002</v>
      </c>
      <c r="O9" s="19">
        <f>'BASE OFICIAL'!P74</f>
        <v>0</v>
      </c>
    </row>
    <row r="10" spans="1:82" ht="15.75" thickBot="1" x14ac:dyDescent="0.3">
      <c r="A10" s="17" t="str">
        <f>'BASE OFICIAL'!B77</f>
        <v>7.2</v>
      </c>
      <c r="B10" s="51" t="str">
        <f>'BASE OFICIAL'!C77</f>
        <v>BANCADA</v>
      </c>
      <c r="C10" s="52">
        <f>'BASE OFICIAL'!D77</f>
        <v>0</v>
      </c>
      <c r="D10" s="18">
        <f>'BASE OFICIAL'!E77</f>
        <v>86.39</v>
      </c>
      <c r="E10" s="19">
        <f>'BASE OFICIAL'!F77</f>
        <v>0</v>
      </c>
      <c r="F10" s="19">
        <f>'BASE OFICIAL'!G77</f>
        <v>0</v>
      </c>
      <c r="G10" s="19">
        <f>'BASE OFICIAL'!H77</f>
        <v>325</v>
      </c>
      <c r="H10" s="54">
        <f>'BASE OFICIAL'!I77</f>
        <v>13879.35</v>
      </c>
      <c r="I10" s="57">
        <f>'BASE OFICIAL'!J77</f>
        <v>0</v>
      </c>
      <c r="J10" s="20">
        <f>'BASE OFICIAL'!K77</f>
        <v>0</v>
      </c>
      <c r="K10" s="62">
        <f>'BASE OFICIAL'!L77</f>
        <v>1959.75</v>
      </c>
      <c r="L10" s="68">
        <f>'BASE OFICIAL'!M77</f>
        <v>0</v>
      </c>
      <c r="M10" s="20">
        <f>'BASE OFICIAL'!N77</f>
        <v>0</v>
      </c>
      <c r="N10" s="19">
        <f>'BASE OFICIAL'!O77</f>
        <v>15839.1</v>
      </c>
      <c r="O10" s="19">
        <f>'BASE OFICIAL'!P77</f>
        <v>0</v>
      </c>
    </row>
    <row r="11" spans="1:82" ht="15.75" thickBot="1" x14ac:dyDescent="0.3">
      <c r="A11" s="17">
        <f>'BASE OFICIAL'!B81</f>
        <v>8</v>
      </c>
      <c r="B11" s="51" t="str">
        <f>'BASE OFICIAL'!C81</f>
        <v>LOUÇAS E METAIS</v>
      </c>
      <c r="C11" s="52">
        <f>'BASE OFICIAL'!D81</f>
        <v>0</v>
      </c>
      <c r="D11" s="18">
        <f>'BASE OFICIAL'!E81</f>
        <v>3</v>
      </c>
      <c r="E11" s="19">
        <f>'BASE OFICIAL'!F81</f>
        <v>0</v>
      </c>
      <c r="F11" s="19">
        <f>'BASE OFICIAL'!G81</f>
        <v>0</v>
      </c>
      <c r="G11" s="19">
        <f>'BASE OFICIAL'!H81</f>
        <v>3606</v>
      </c>
      <c r="H11" s="54">
        <f>'BASE OFICIAL'!I81</f>
        <v>4339</v>
      </c>
      <c r="I11" s="57">
        <f>'BASE OFICIAL'!J81</f>
        <v>0</v>
      </c>
      <c r="J11" s="20">
        <f>'BASE OFICIAL'!K81</f>
        <v>0</v>
      </c>
      <c r="K11" s="62">
        <f>'BASE OFICIAL'!L81</f>
        <v>956</v>
      </c>
      <c r="L11" s="68">
        <f>'BASE OFICIAL'!M81</f>
        <v>0</v>
      </c>
      <c r="M11" s="20">
        <f>'BASE OFICIAL'!N81</f>
        <v>0</v>
      </c>
      <c r="N11" s="19">
        <f>'BASE OFICIAL'!O81</f>
        <v>5295</v>
      </c>
      <c r="O11" s="19">
        <f>'BASE OFICIAL'!P81</f>
        <v>0</v>
      </c>
    </row>
    <row r="12" spans="1:82" ht="15.75" thickBot="1" x14ac:dyDescent="0.3">
      <c r="A12" s="17">
        <f>'BASE OFICIAL'!B85</f>
        <v>9</v>
      </c>
      <c r="B12" s="51" t="str">
        <f>'BASE OFICIAL'!C85</f>
        <v>PINTURA</v>
      </c>
      <c r="C12" s="52">
        <f>'BASE OFICIAL'!D85</f>
        <v>0</v>
      </c>
      <c r="D12" s="18">
        <f>'BASE OFICIAL'!E85</f>
        <v>1308.1655000000001</v>
      </c>
      <c r="E12" s="19">
        <f>'BASE OFICIAL'!F85</f>
        <v>0</v>
      </c>
      <c r="F12" s="19">
        <f>'BASE OFICIAL'!G85</f>
        <v>0</v>
      </c>
      <c r="G12" s="19">
        <f>'BASE OFICIAL'!H85</f>
        <v>287.53999999999996</v>
      </c>
      <c r="H12" s="54">
        <f>'BASE OFICIAL'!I85</f>
        <v>42479.170570000002</v>
      </c>
      <c r="I12" s="57">
        <f>'BASE OFICIAL'!J85</f>
        <v>0</v>
      </c>
      <c r="J12" s="20">
        <f>'BASE OFICIAL'!K85</f>
        <v>0</v>
      </c>
      <c r="K12" s="62">
        <f>'BASE OFICIAL'!L85</f>
        <v>48922.229500000001</v>
      </c>
      <c r="L12" s="68">
        <f>'BASE OFICIAL'!M85</f>
        <v>0</v>
      </c>
      <c r="M12" s="20">
        <f>'BASE OFICIAL'!N85</f>
        <v>0</v>
      </c>
      <c r="N12" s="19">
        <f>'BASE OFICIAL'!O85</f>
        <v>91401.400070000003</v>
      </c>
      <c r="O12" s="19">
        <f>'BASE OFICIAL'!P85</f>
        <v>0</v>
      </c>
    </row>
    <row r="13" spans="1:82" ht="15.75" thickBot="1" x14ac:dyDescent="0.3">
      <c r="A13" s="17">
        <f>'BASE OFICIAL'!B90</f>
        <v>10</v>
      </c>
      <c r="B13" s="51" t="str">
        <f>'BASE OFICIAL'!C90</f>
        <v>COBERTURA</v>
      </c>
      <c r="C13" s="52">
        <f>'BASE OFICIAL'!D90</f>
        <v>0</v>
      </c>
      <c r="D13" s="18">
        <f>'BASE OFICIAL'!E90</f>
        <v>835.548</v>
      </c>
      <c r="E13" s="19">
        <f>'BASE OFICIAL'!F90</f>
        <v>0</v>
      </c>
      <c r="F13" s="19">
        <f>'BASE OFICIAL'!G90</f>
        <v>0</v>
      </c>
      <c r="G13" s="19">
        <f>'BASE OFICIAL'!H90</f>
        <v>728.56</v>
      </c>
      <c r="H13" s="54">
        <f>'BASE OFICIAL'!I90</f>
        <v>74168.864000000001</v>
      </c>
      <c r="I13" s="57">
        <f>'BASE OFICIAL'!J90</f>
        <v>0</v>
      </c>
      <c r="J13" s="20">
        <f>'BASE OFICIAL'!K90</f>
        <v>0</v>
      </c>
      <c r="K13" s="62">
        <f>'BASE OFICIAL'!L90</f>
        <v>109457.06408000001</v>
      </c>
      <c r="L13" s="68">
        <f>'BASE OFICIAL'!M90</f>
        <v>0</v>
      </c>
      <c r="M13" s="20">
        <f>'BASE OFICIAL'!N90</f>
        <v>0</v>
      </c>
      <c r="N13" s="19">
        <f>'BASE OFICIAL'!O90</f>
        <v>183625.92808000001</v>
      </c>
      <c r="O13" s="19">
        <f>'BASE OFICIAL'!P90</f>
        <v>0</v>
      </c>
    </row>
    <row r="14" spans="1:82" ht="15.75" thickBot="1" x14ac:dyDescent="0.3">
      <c r="A14" s="17">
        <f>'BASE OFICIAL'!B94</f>
        <v>11</v>
      </c>
      <c r="B14" s="51" t="str">
        <f>'BASE OFICIAL'!C94</f>
        <v>LIMPEZA E DIVERSOS</v>
      </c>
      <c r="C14" s="52">
        <f>'BASE OFICIAL'!D94</f>
        <v>0</v>
      </c>
      <c r="D14" s="18">
        <f>'BASE OFICIAL'!E94</f>
        <v>1036</v>
      </c>
      <c r="E14" s="19">
        <f>'BASE OFICIAL'!F94</f>
        <v>0</v>
      </c>
      <c r="F14" s="19">
        <f>'BASE OFICIAL'!G94</f>
        <v>0</v>
      </c>
      <c r="G14" s="19">
        <f>'BASE OFICIAL'!H94</f>
        <v>66815.509999999995</v>
      </c>
      <c r="H14" s="54">
        <f>'BASE OFICIAL'!I94</f>
        <v>16024</v>
      </c>
      <c r="I14" s="57">
        <f>'BASE OFICIAL'!J94</f>
        <v>0</v>
      </c>
      <c r="J14" s="20">
        <f>'BASE OFICIAL'!K94</f>
        <v>0</v>
      </c>
      <c r="K14" s="62">
        <f>'BASE OFICIAL'!L94</f>
        <v>93910.5</v>
      </c>
      <c r="L14" s="68">
        <f>'BASE OFICIAL'!M94</f>
        <v>0</v>
      </c>
      <c r="M14" s="20">
        <f>'BASE OFICIAL'!N94</f>
        <v>0</v>
      </c>
      <c r="N14" s="19">
        <f>'BASE OFICIAL'!O94</f>
        <v>109934.5</v>
      </c>
      <c r="O14" s="19">
        <f>'BASE OFICIAL'!P94</f>
        <v>0</v>
      </c>
    </row>
    <row r="15" spans="1:82" ht="15.75" thickBot="1" x14ac:dyDescent="0.3">
      <c r="A15" s="17">
        <f>'BASE OFICIAL'!B108</f>
        <v>12</v>
      </c>
      <c r="B15" s="51" t="str">
        <f>'BASE OFICIAL'!C108</f>
        <v>INSTALAÇÕES - ESTIMATIVA SEM PROJETO</v>
      </c>
      <c r="C15" s="52">
        <f>'BASE OFICIAL'!D108</f>
        <v>0</v>
      </c>
      <c r="D15" s="18">
        <f>'BASE OFICIAL'!E108</f>
        <v>27</v>
      </c>
      <c r="E15" s="19">
        <f>'BASE OFICIAL'!F108</f>
        <v>0</v>
      </c>
      <c r="F15" s="19">
        <f>'BASE OFICIAL'!G108</f>
        <v>0</v>
      </c>
      <c r="G15" s="19">
        <f>'BASE OFICIAL'!H108</f>
        <v>202634</v>
      </c>
      <c r="H15" s="54">
        <f>'BASE OFICIAL'!I108</f>
        <v>71105</v>
      </c>
      <c r="I15" s="57">
        <f>'BASE OFICIAL'!J108</f>
        <v>0</v>
      </c>
      <c r="J15" s="20">
        <f>'BASE OFICIAL'!K108</f>
        <v>0</v>
      </c>
      <c r="K15" s="62">
        <f>'BASE OFICIAL'!L108</f>
        <v>134094</v>
      </c>
      <c r="L15" s="68">
        <f>'BASE OFICIAL'!M108</f>
        <v>0</v>
      </c>
      <c r="M15" s="20">
        <f>'BASE OFICIAL'!N108</f>
        <v>0</v>
      </c>
      <c r="N15" s="19">
        <f>'BASE OFICIAL'!O108</f>
        <v>205199</v>
      </c>
      <c r="O15" s="19">
        <f>'BASE OFICIAL'!P108</f>
        <v>0</v>
      </c>
    </row>
    <row r="16" spans="1:82" ht="15.75" thickBot="1" x14ac:dyDescent="0.3">
      <c r="A16" s="17">
        <f>'BASE OFICIAL'!B121</f>
        <v>13</v>
      </c>
      <c r="B16" s="51" t="str">
        <f>'BASE OFICIAL'!C121</f>
        <v xml:space="preserve">MÃO DE OBRA DE APOIO </v>
      </c>
      <c r="C16" s="52">
        <f>'BASE OFICIAL'!D121</f>
        <v>0</v>
      </c>
      <c r="D16" s="18">
        <f>'BASE OFICIAL'!E121</f>
        <v>42</v>
      </c>
      <c r="E16" s="19">
        <f>'BASE OFICIAL'!F121</f>
        <v>0</v>
      </c>
      <c r="F16" s="19">
        <f>'BASE OFICIAL'!G121</f>
        <v>0</v>
      </c>
      <c r="G16" s="19">
        <f>'BASE OFICIAL'!H121</f>
        <v>5600</v>
      </c>
      <c r="H16" s="54">
        <f>'BASE OFICIAL'!I121</f>
        <v>78400</v>
      </c>
      <c r="I16" s="57">
        <f>'BASE OFICIAL'!J121</f>
        <v>0</v>
      </c>
      <c r="J16" s="20">
        <f>'BASE OFICIAL'!K121</f>
        <v>0</v>
      </c>
      <c r="K16" s="62">
        <f>'BASE OFICIAL'!L121</f>
        <v>0</v>
      </c>
      <c r="L16" s="68">
        <f>'BASE OFICIAL'!M121</f>
        <v>0</v>
      </c>
      <c r="M16" s="20">
        <f>'BASE OFICIAL'!N121</f>
        <v>0</v>
      </c>
      <c r="N16" s="19">
        <f>'BASE OFICIAL'!O121</f>
        <v>78400</v>
      </c>
      <c r="O16" s="19">
        <f>'BASE OFICIAL'!P121</f>
        <v>0</v>
      </c>
    </row>
    <row r="17" spans="1:15" ht="15.75" thickBot="1" x14ac:dyDescent="0.3">
      <c r="A17" s="17">
        <f>'BASE OFICIAL'!B125</f>
        <v>14</v>
      </c>
      <c r="B17" s="51" t="str">
        <f>'BASE OFICIAL'!C125</f>
        <v>PISCINA</v>
      </c>
      <c r="C17" s="52">
        <f>'BASE OFICIAL'!D125</f>
        <v>0</v>
      </c>
      <c r="D17" s="18">
        <f>'BASE OFICIAL'!E125</f>
        <v>1936.1195</v>
      </c>
      <c r="E17" s="19">
        <f>'BASE OFICIAL'!F125</f>
        <v>0</v>
      </c>
      <c r="F17" s="19">
        <f>'BASE OFICIAL'!G125</f>
        <v>0</v>
      </c>
      <c r="G17" s="19">
        <f>'BASE OFICIAL'!H125</f>
        <v>25079.85</v>
      </c>
      <c r="H17" s="54">
        <f>'BASE OFICIAL'!I125</f>
        <v>52231.095799999996</v>
      </c>
      <c r="I17" s="57">
        <f>'BASE OFICIAL'!J125</f>
        <v>0</v>
      </c>
      <c r="J17" s="20">
        <f>'BASE OFICIAL'!K125</f>
        <v>0</v>
      </c>
      <c r="K17" s="62">
        <f>'BASE OFICIAL'!L125</f>
        <v>64762.150699999998</v>
      </c>
      <c r="L17" s="68">
        <f>'BASE OFICIAL'!M125</f>
        <v>0</v>
      </c>
      <c r="M17" s="20">
        <f>'BASE OFICIAL'!N125</f>
        <v>0</v>
      </c>
      <c r="N17" s="19">
        <f>'BASE OFICIAL'!O125</f>
        <v>116993.24649999999</v>
      </c>
      <c r="O17" s="19">
        <f>'BASE OFICIAL'!P125</f>
        <v>0</v>
      </c>
    </row>
    <row r="18" spans="1:15" x14ac:dyDescent="0.25">
      <c r="N18" s="50"/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3FBE-FFF0-4094-B514-57700D725DDB}">
  <dimension ref="A1:E19"/>
  <sheetViews>
    <sheetView workbookViewId="0">
      <selection activeCell="D6" sqref="D6"/>
    </sheetView>
  </sheetViews>
  <sheetFormatPr defaultRowHeight="15" x14ac:dyDescent="0.25"/>
  <cols>
    <col min="3" max="3" width="12.7109375" bestFit="1" customWidth="1"/>
    <col min="4" max="4" width="13.7109375" bestFit="1" customWidth="1"/>
  </cols>
  <sheetData>
    <row r="1" spans="1:5" x14ac:dyDescent="0.25">
      <c r="A1" t="s">
        <v>345</v>
      </c>
      <c r="B1" t="s">
        <v>277</v>
      </c>
      <c r="C1" t="s">
        <v>346</v>
      </c>
      <c r="D1" t="s">
        <v>347</v>
      </c>
      <c r="E1" t="s">
        <v>348</v>
      </c>
    </row>
    <row r="2" spans="1:5" x14ac:dyDescent="0.25">
      <c r="A2">
        <f>'BASE OFICIAL'!Q174</f>
        <v>36227.68</v>
      </c>
      <c r="B2">
        <f>'BASE OFICIAL'!R174</f>
        <v>45576</v>
      </c>
      <c r="C2">
        <f>'BASE OFICIAL'!P174</f>
        <v>1</v>
      </c>
      <c r="D2" t="e">
        <f>SUMIF(#REF!,"1",#REF!)</f>
        <v>#REF!</v>
      </c>
      <c r="E2" t="e">
        <f>SUMIF(#REF!,1,#REF!)</f>
        <v>#REF!</v>
      </c>
    </row>
    <row r="3" spans="1:5" x14ac:dyDescent="0.25">
      <c r="A3">
        <f>'BASE OFICIAL'!Q175</f>
        <v>58915.23</v>
      </c>
      <c r="B3">
        <f>'BASE OFICIAL'!R175</f>
        <v>45688</v>
      </c>
      <c r="C3">
        <f>'BASE OFICIAL'!P175</f>
        <v>2</v>
      </c>
      <c r="D3" t="e">
        <f>SUMIF(#REF!,"2",#REF!)</f>
        <v>#REF!</v>
      </c>
      <c r="E3" t="e">
        <f>SUMIF(#REF!,2,#REF!)</f>
        <v>#REF!</v>
      </c>
    </row>
    <row r="4" spans="1:5" x14ac:dyDescent="0.25">
      <c r="A4">
        <f>'BASE OFICIAL'!Q176</f>
        <v>47960.25</v>
      </c>
      <c r="B4">
        <f>'BASE OFICIAL'!R176</f>
        <v>45702</v>
      </c>
      <c r="C4">
        <f>'BASE OFICIAL'!P176</f>
        <v>3</v>
      </c>
      <c r="D4" t="e">
        <f>SUMIF(#REF!,"3",#REF!)</f>
        <v>#REF!</v>
      </c>
      <c r="E4" t="e">
        <f>SUMIF(#REF!,3,#REF!)</f>
        <v>#REF!</v>
      </c>
    </row>
    <row r="5" spans="1:5" x14ac:dyDescent="0.25">
      <c r="A5">
        <f>'BASE OFICIAL'!Q177</f>
        <v>73496.820000000007</v>
      </c>
      <c r="B5" t="str">
        <f>'BASE OFICIAL'!R177</f>
        <v>FEVEREIRO</v>
      </c>
      <c r="C5">
        <f>'BASE OFICIAL'!P177</f>
        <v>4</v>
      </c>
      <c r="D5" t="e">
        <f>SUMIF(#REF!,"4",#REF!)</f>
        <v>#REF!</v>
      </c>
      <c r="E5" t="e">
        <f>SUMIF(#REF!,4,#REF!)</f>
        <v>#REF!</v>
      </c>
    </row>
    <row r="6" spans="1:5" x14ac:dyDescent="0.25">
      <c r="A6">
        <f>'BASE OFICIAL'!Q178</f>
        <v>0</v>
      </c>
      <c r="B6">
        <f>'BASE OFICIAL'!R178</f>
        <v>0</v>
      </c>
      <c r="C6">
        <f>'BASE OFICIAL'!P178</f>
        <v>0</v>
      </c>
    </row>
    <row r="7" spans="1:5" x14ac:dyDescent="0.25">
      <c r="A7">
        <f>'BASE OFICIAL'!Q179</f>
        <v>0</v>
      </c>
      <c r="B7">
        <f>'BASE OFICIAL'!R179</f>
        <v>0</v>
      </c>
      <c r="C7">
        <f>'BASE OFICIAL'!P179</f>
        <v>0</v>
      </c>
    </row>
    <row r="8" spans="1:5" x14ac:dyDescent="0.25">
      <c r="A8">
        <f>'BASE OFICIAL'!Q180</f>
        <v>0</v>
      </c>
      <c r="B8">
        <f>'BASE OFICIAL'!R180</f>
        <v>0</v>
      </c>
      <c r="C8">
        <f>'BASE OFICIAL'!P180</f>
        <v>0</v>
      </c>
    </row>
    <row r="9" spans="1:5" x14ac:dyDescent="0.25">
      <c r="A9">
        <f>'BASE OFICIAL'!Q181</f>
        <v>0</v>
      </c>
      <c r="B9">
        <f>'BASE OFICIAL'!R181</f>
        <v>0</v>
      </c>
      <c r="C9">
        <f>'BASE OFICIAL'!P181</f>
        <v>0</v>
      </c>
    </row>
    <row r="10" spans="1:5" x14ac:dyDescent="0.25">
      <c r="A10">
        <f>'BASE OFICIAL'!Q182</f>
        <v>0</v>
      </c>
      <c r="B10">
        <f>'BASE OFICIAL'!R182</f>
        <v>0</v>
      </c>
      <c r="C10">
        <f>'BASE OFICIAL'!P182</f>
        <v>0</v>
      </c>
    </row>
    <row r="11" spans="1:5" x14ac:dyDescent="0.25">
      <c r="A11">
        <f>'BASE OFICIAL'!Q183</f>
        <v>0</v>
      </c>
      <c r="B11">
        <f>'BASE OFICIAL'!R183</f>
        <v>0</v>
      </c>
      <c r="C11">
        <f>'BASE OFICIAL'!P183</f>
        <v>0</v>
      </c>
    </row>
    <row r="12" spans="1:5" x14ac:dyDescent="0.25">
      <c r="A12">
        <f>'BASE OFICIAL'!Q184</f>
        <v>0</v>
      </c>
      <c r="B12">
        <f>'BASE OFICIAL'!R184</f>
        <v>0</v>
      </c>
      <c r="C12">
        <f>'BASE OFICIAL'!P184</f>
        <v>0</v>
      </c>
    </row>
    <row r="13" spans="1:5" x14ac:dyDescent="0.25">
      <c r="A13">
        <f>'BASE OFICIAL'!Q185</f>
        <v>0</v>
      </c>
      <c r="B13">
        <f>'BASE OFICIAL'!R185</f>
        <v>0</v>
      </c>
      <c r="C13">
        <f>'BASE OFICIAL'!P185</f>
        <v>0</v>
      </c>
    </row>
    <row r="14" spans="1:5" x14ac:dyDescent="0.25">
      <c r="A14">
        <f>'BASE OFICIAL'!Q186</f>
        <v>0</v>
      </c>
      <c r="B14">
        <f>'BASE OFICIAL'!R186</f>
        <v>0</v>
      </c>
      <c r="C14">
        <f>'BASE OFICIAL'!P186</f>
        <v>0</v>
      </c>
    </row>
    <row r="15" spans="1:5" x14ac:dyDescent="0.25">
      <c r="A15">
        <f>'BASE OFICIAL'!Q187</f>
        <v>0</v>
      </c>
      <c r="B15">
        <f>'BASE OFICIAL'!R187</f>
        <v>0</v>
      </c>
      <c r="C15">
        <f>'BASE OFICIAL'!P187</f>
        <v>0</v>
      </c>
    </row>
    <row r="16" spans="1:5" x14ac:dyDescent="0.25">
      <c r="A16">
        <f>'BASE OFICIAL'!Q188</f>
        <v>0</v>
      </c>
      <c r="B16">
        <f>'BASE OFICIAL'!R188</f>
        <v>0</v>
      </c>
      <c r="C16">
        <f>'BASE OFICIAL'!P188</f>
        <v>0</v>
      </c>
    </row>
    <row r="17" spans="1:3" x14ac:dyDescent="0.25">
      <c r="A17">
        <f>'BASE OFICIAL'!Q189</f>
        <v>0</v>
      </c>
      <c r="B17">
        <f>'BASE OFICIAL'!R189</f>
        <v>0</v>
      </c>
      <c r="C17">
        <f>'BASE OFICIAL'!P189</f>
        <v>0</v>
      </c>
    </row>
    <row r="18" spans="1:3" x14ac:dyDescent="0.25">
      <c r="A18">
        <f>'BASE OFICIAL'!Q190</f>
        <v>0</v>
      </c>
      <c r="B18">
        <f>'BASE OFICIAL'!R190</f>
        <v>0</v>
      </c>
      <c r="C18">
        <f>'BASE OFICIAL'!P190</f>
        <v>0</v>
      </c>
    </row>
    <row r="19" spans="1:3" x14ac:dyDescent="0.25">
      <c r="A19">
        <f>'BASE OFICIAL'!Q191</f>
        <v>0</v>
      </c>
      <c r="B19">
        <f>'BASE OFICIAL'!R191</f>
        <v>0</v>
      </c>
      <c r="C19">
        <f>'BASE OFICIAL'!P191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5A34-4C30-4247-BBDF-513C20249F02}">
  <dimension ref="A1:B127"/>
  <sheetViews>
    <sheetView workbookViewId="0">
      <selection activeCell="C16" sqref="C16"/>
    </sheetView>
  </sheetViews>
  <sheetFormatPr defaultRowHeight="15" x14ac:dyDescent="0.25"/>
  <cols>
    <col min="1" max="1" width="139" bestFit="1" customWidth="1"/>
  </cols>
  <sheetData>
    <row r="1" spans="1:2" x14ac:dyDescent="0.25">
      <c r="A1" t="s">
        <v>24</v>
      </c>
      <c r="B1">
        <f>COUNTIF(A1:A127,A1)</f>
        <v>1</v>
      </c>
    </row>
    <row r="2" spans="1:2" x14ac:dyDescent="0.25">
      <c r="A2" t="s">
        <v>349</v>
      </c>
      <c r="B2">
        <f t="shared" ref="B2:B65" si="0">COUNTIF(A2:A128,A2)</f>
        <v>1</v>
      </c>
    </row>
    <row r="3" spans="1:2" x14ac:dyDescent="0.25">
      <c r="A3" t="s">
        <v>29</v>
      </c>
      <c r="B3">
        <f t="shared" si="0"/>
        <v>1</v>
      </c>
    </row>
    <row r="4" spans="1:2" x14ac:dyDescent="0.25">
      <c r="A4" t="s">
        <v>350</v>
      </c>
      <c r="B4">
        <f t="shared" si="0"/>
        <v>1</v>
      </c>
    </row>
    <row r="5" spans="1:2" x14ac:dyDescent="0.25">
      <c r="A5" t="s">
        <v>34</v>
      </c>
      <c r="B5">
        <f t="shared" si="0"/>
        <v>1</v>
      </c>
    </row>
    <row r="6" spans="1:2" x14ac:dyDescent="0.25">
      <c r="A6" t="s">
        <v>351</v>
      </c>
      <c r="B6">
        <f t="shared" si="0"/>
        <v>1</v>
      </c>
    </row>
    <row r="7" spans="1:2" x14ac:dyDescent="0.25">
      <c r="A7" t="s">
        <v>352</v>
      </c>
      <c r="B7">
        <f t="shared" si="0"/>
        <v>1</v>
      </c>
    </row>
    <row r="8" spans="1:2" x14ac:dyDescent="0.25">
      <c r="A8" t="s">
        <v>42</v>
      </c>
      <c r="B8">
        <f t="shared" si="0"/>
        <v>1</v>
      </c>
    </row>
    <row r="9" spans="1:2" x14ac:dyDescent="0.25">
      <c r="A9" t="s">
        <v>45</v>
      </c>
      <c r="B9">
        <f>COUNTIF(A9:A135,A9)</f>
        <v>1</v>
      </c>
    </row>
    <row r="10" spans="1:2" x14ac:dyDescent="0.25">
      <c r="A10" t="s">
        <v>47</v>
      </c>
      <c r="B10">
        <f t="shared" si="0"/>
        <v>1</v>
      </c>
    </row>
    <row r="11" spans="1:2" x14ac:dyDescent="0.25">
      <c r="A11" t="s">
        <v>49</v>
      </c>
      <c r="B11">
        <f t="shared" si="0"/>
        <v>1</v>
      </c>
    </row>
    <row r="12" spans="1:2" x14ac:dyDescent="0.25">
      <c r="A12" t="s">
        <v>51</v>
      </c>
      <c r="B12">
        <f t="shared" si="0"/>
        <v>1</v>
      </c>
    </row>
    <row r="13" spans="1:2" x14ac:dyDescent="0.25">
      <c r="A13" t="s">
        <v>353</v>
      </c>
      <c r="B13">
        <f t="shared" si="0"/>
        <v>1</v>
      </c>
    </row>
    <row r="14" spans="1:2" x14ac:dyDescent="0.25">
      <c r="A14" t="s">
        <v>55</v>
      </c>
      <c r="B14">
        <f t="shared" si="0"/>
        <v>1</v>
      </c>
    </row>
    <row r="15" spans="1:2" x14ac:dyDescent="0.25">
      <c r="A15" t="s">
        <v>58</v>
      </c>
      <c r="B15">
        <f t="shared" si="0"/>
        <v>1</v>
      </c>
    </row>
    <row r="16" spans="1:2" x14ac:dyDescent="0.25">
      <c r="A16" t="s">
        <v>60</v>
      </c>
      <c r="B16">
        <f t="shared" si="0"/>
        <v>1</v>
      </c>
    </row>
    <row r="17" spans="1:2" x14ac:dyDescent="0.25">
      <c r="A17" t="s">
        <v>354</v>
      </c>
      <c r="B17">
        <f t="shared" si="0"/>
        <v>1</v>
      </c>
    </row>
    <row r="18" spans="1:2" x14ac:dyDescent="0.25">
      <c r="A18" t="s">
        <v>355</v>
      </c>
      <c r="B18">
        <f t="shared" si="0"/>
        <v>1</v>
      </c>
    </row>
    <row r="19" spans="1:2" x14ac:dyDescent="0.25">
      <c r="A19" t="s">
        <v>66</v>
      </c>
      <c r="B19">
        <f t="shared" si="0"/>
        <v>1</v>
      </c>
    </row>
    <row r="20" spans="1:2" x14ac:dyDescent="0.25">
      <c r="A20" t="s">
        <v>68</v>
      </c>
      <c r="B20">
        <f t="shared" si="0"/>
        <v>1</v>
      </c>
    </row>
    <row r="21" spans="1:2" x14ac:dyDescent="0.25">
      <c r="A21" t="s">
        <v>70</v>
      </c>
      <c r="B21">
        <f t="shared" si="0"/>
        <v>1</v>
      </c>
    </row>
    <row r="22" spans="1:2" x14ac:dyDescent="0.25">
      <c r="A22" t="s">
        <v>72</v>
      </c>
      <c r="B22">
        <f t="shared" si="0"/>
        <v>1</v>
      </c>
    </row>
    <row r="23" spans="1:2" x14ac:dyDescent="0.25">
      <c r="A23" t="s">
        <v>74</v>
      </c>
      <c r="B23">
        <f t="shared" si="0"/>
        <v>1</v>
      </c>
    </row>
    <row r="24" spans="1:2" x14ac:dyDescent="0.25">
      <c r="A24" t="s">
        <v>75</v>
      </c>
      <c r="B24">
        <f t="shared" si="0"/>
        <v>1</v>
      </c>
    </row>
    <row r="25" spans="1:2" x14ac:dyDescent="0.25">
      <c r="A25" t="s">
        <v>356</v>
      </c>
      <c r="B25">
        <f t="shared" si="0"/>
        <v>1</v>
      </c>
    </row>
    <row r="26" spans="1:2" x14ac:dyDescent="0.25">
      <c r="A26" t="s">
        <v>79</v>
      </c>
      <c r="B26">
        <f t="shared" si="0"/>
        <v>1</v>
      </c>
    </row>
    <row r="27" spans="1:2" x14ac:dyDescent="0.25">
      <c r="A27" t="s">
        <v>81</v>
      </c>
      <c r="B27">
        <f t="shared" si="0"/>
        <v>1</v>
      </c>
    </row>
    <row r="28" spans="1:2" x14ac:dyDescent="0.25">
      <c r="A28" t="s">
        <v>357</v>
      </c>
      <c r="B28">
        <f t="shared" si="0"/>
        <v>1</v>
      </c>
    </row>
    <row r="29" spans="1:2" x14ac:dyDescent="0.25">
      <c r="A29" t="s">
        <v>358</v>
      </c>
      <c r="B29">
        <f t="shared" si="0"/>
        <v>1</v>
      </c>
    </row>
    <row r="30" spans="1:2" x14ac:dyDescent="0.25">
      <c r="A30" t="s">
        <v>359</v>
      </c>
      <c r="B30">
        <f t="shared" si="0"/>
        <v>1</v>
      </c>
    </row>
    <row r="31" spans="1:2" x14ac:dyDescent="0.25">
      <c r="A31" t="s">
        <v>89</v>
      </c>
      <c r="B31">
        <f t="shared" si="0"/>
        <v>1</v>
      </c>
    </row>
    <row r="32" spans="1:2" x14ac:dyDescent="0.25">
      <c r="A32" t="s">
        <v>360</v>
      </c>
      <c r="B32">
        <f t="shared" si="0"/>
        <v>1</v>
      </c>
    </row>
    <row r="33" spans="1:2" x14ac:dyDescent="0.25">
      <c r="A33" t="s">
        <v>93</v>
      </c>
      <c r="B33">
        <f t="shared" si="0"/>
        <v>1</v>
      </c>
    </row>
    <row r="34" spans="1:2" x14ac:dyDescent="0.25">
      <c r="A34" t="s">
        <v>361</v>
      </c>
      <c r="B34">
        <f t="shared" si="0"/>
        <v>1</v>
      </c>
    </row>
    <row r="35" spans="1:2" x14ac:dyDescent="0.25">
      <c r="A35" t="s">
        <v>362</v>
      </c>
      <c r="B35">
        <f t="shared" si="0"/>
        <v>1</v>
      </c>
    </row>
    <row r="36" spans="1:2" x14ac:dyDescent="0.25">
      <c r="A36" t="s">
        <v>363</v>
      </c>
      <c r="B36">
        <f t="shared" si="0"/>
        <v>1</v>
      </c>
    </row>
    <row r="37" spans="1:2" x14ac:dyDescent="0.25">
      <c r="A37" t="s">
        <v>101</v>
      </c>
      <c r="B37">
        <f t="shared" si="0"/>
        <v>1</v>
      </c>
    </row>
    <row r="38" spans="1:2" x14ac:dyDescent="0.25">
      <c r="A38" t="s">
        <v>364</v>
      </c>
      <c r="B38">
        <f t="shared" si="0"/>
        <v>1</v>
      </c>
    </row>
    <row r="39" spans="1:2" x14ac:dyDescent="0.25">
      <c r="A39" t="s">
        <v>365</v>
      </c>
      <c r="B39">
        <f t="shared" si="0"/>
        <v>1</v>
      </c>
    </row>
    <row r="40" spans="1:2" x14ac:dyDescent="0.25">
      <c r="A40" t="s">
        <v>107</v>
      </c>
      <c r="B40">
        <f t="shared" si="0"/>
        <v>1</v>
      </c>
    </row>
    <row r="41" spans="1:2" x14ac:dyDescent="0.25">
      <c r="A41" t="s">
        <v>366</v>
      </c>
      <c r="B41">
        <f t="shared" si="0"/>
        <v>1</v>
      </c>
    </row>
    <row r="42" spans="1:2" x14ac:dyDescent="0.25">
      <c r="A42" t="s">
        <v>111</v>
      </c>
      <c r="B42">
        <f t="shared" si="0"/>
        <v>1</v>
      </c>
    </row>
    <row r="43" spans="1:2" x14ac:dyDescent="0.25">
      <c r="A43" t="s">
        <v>113</v>
      </c>
      <c r="B43">
        <f t="shared" si="0"/>
        <v>1</v>
      </c>
    </row>
    <row r="44" spans="1:2" x14ac:dyDescent="0.25">
      <c r="A44" t="s">
        <v>367</v>
      </c>
      <c r="B44">
        <f t="shared" si="0"/>
        <v>1</v>
      </c>
    </row>
    <row r="45" spans="1:2" x14ac:dyDescent="0.25">
      <c r="A45" t="s">
        <v>117</v>
      </c>
      <c r="B45">
        <f t="shared" si="0"/>
        <v>1</v>
      </c>
    </row>
    <row r="46" spans="1:2" x14ac:dyDescent="0.25">
      <c r="A46" t="s">
        <v>368</v>
      </c>
      <c r="B46">
        <f t="shared" si="0"/>
        <v>1</v>
      </c>
    </row>
    <row r="47" spans="1:2" x14ac:dyDescent="0.25">
      <c r="A47" t="s">
        <v>369</v>
      </c>
      <c r="B47">
        <f t="shared" si="0"/>
        <v>1</v>
      </c>
    </row>
    <row r="48" spans="1:2" x14ac:dyDescent="0.25">
      <c r="A48" t="s">
        <v>123</v>
      </c>
      <c r="B48">
        <f t="shared" si="0"/>
        <v>1</v>
      </c>
    </row>
    <row r="49" spans="1:2" x14ac:dyDescent="0.25">
      <c r="A49" t="s">
        <v>125</v>
      </c>
      <c r="B49">
        <f t="shared" si="0"/>
        <v>1</v>
      </c>
    </row>
    <row r="50" spans="1:2" x14ac:dyDescent="0.25">
      <c r="A50" t="s">
        <v>370</v>
      </c>
      <c r="B50">
        <f t="shared" si="0"/>
        <v>1</v>
      </c>
    </row>
    <row r="51" spans="1:2" x14ac:dyDescent="0.25">
      <c r="A51" t="s">
        <v>371</v>
      </c>
      <c r="B51">
        <f t="shared" si="0"/>
        <v>1</v>
      </c>
    </row>
    <row r="52" spans="1:2" x14ac:dyDescent="0.25">
      <c r="A52" t="s">
        <v>372</v>
      </c>
      <c r="B52">
        <f t="shared" si="0"/>
        <v>1</v>
      </c>
    </row>
    <row r="53" spans="1:2" x14ac:dyDescent="0.25">
      <c r="A53" t="s">
        <v>373</v>
      </c>
      <c r="B53">
        <f t="shared" si="0"/>
        <v>1</v>
      </c>
    </row>
    <row r="54" spans="1:2" x14ac:dyDescent="0.25">
      <c r="A54" t="s">
        <v>135</v>
      </c>
      <c r="B54">
        <f t="shared" si="0"/>
        <v>1</v>
      </c>
    </row>
    <row r="55" spans="1:2" x14ac:dyDescent="0.25">
      <c r="A55" t="s">
        <v>136</v>
      </c>
      <c r="B55">
        <f t="shared" si="0"/>
        <v>1</v>
      </c>
    </row>
    <row r="56" spans="1:2" x14ac:dyDescent="0.25">
      <c r="A56" t="s">
        <v>374</v>
      </c>
      <c r="B56">
        <f t="shared" si="0"/>
        <v>1</v>
      </c>
    </row>
    <row r="57" spans="1:2" x14ac:dyDescent="0.25">
      <c r="A57" t="s">
        <v>140</v>
      </c>
      <c r="B57">
        <f t="shared" si="0"/>
        <v>1</v>
      </c>
    </row>
    <row r="58" spans="1:2" x14ac:dyDescent="0.25">
      <c r="A58" t="s">
        <v>375</v>
      </c>
      <c r="B58">
        <f t="shared" si="0"/>
        <v>1</v>
      </c>
    </row>
    <row r="59" spans="1:2" x14ac:dyDescent="0.25">
      <c r="A59" t="s">
        <v>376</v>
      </c>
      <c r="B59">
        <f t="shared" si="0"/>
        <v>1</v>
      </c>
    </row>
    <row r="60" spans="1:2" x14ac:dyDescent="0.25">
      <c r="A60" t="s">
        <v>377</v>
      </c>
      <c r="B60">
        <f t="shared" si="0"/>
        <v>1</v>
      </c>
    </row>
    <row r="61" spans="1:2" x14ac:dyDescent="0.25">
      <c r="A61" t="s">
        <v>378</v>
      </c>
      <c r="B61">
        <f t="shared" si="0"/>
        <v>1</v>
      </c>
    </row>
    <row r="62" spans="1:2" x14ac:dyDescent="0.25">
      <c r="A62" t="s">
        <v>150</v>
      </c>
      <c r="B62">
        <f t="shared" si="0"/>
        <v>1</v>
      </c>
    </row>
    <row r="63" spans="1:2" x14ac:dyDescent="0.25">
      <c r="A63" t="s">
        <v>379</v>
      </c>
      <c r="B63">
        <f t="shared" si="0"/>
        <v>1</v>
      </c>
    </row>
    <row r="64" spans="1:2" x14ac:dyDescent="0.25">
      <c r="A64" t="s">
        <v>154</v>
      </c>
      <c r="B64">
        <f t="shared" si="0"/>
        <v>1</v>
      </c>
    </row>
    <row r="65" spans="1:2" x14ac:dyDescent="0.25">
      <c r="A65" t="s">
        <v>380</v>
      </c>
      <c r="B65">
        <f t="shared" si="0"/>
        <v>1</v>
      </c>
    </row>
    <row r="66" spans="1:2" x14ac:dyDescent="0.25">
      <c r="A66" t="s">
        <v>381</v>
      </c>
      <c r="B66">
        <f t="shared" ref="B66:B127" si="1">COUNTIF(A66:A192,A66)</f>
        <v>1</v>
      </c>
    </row>
    <row r="67" spans="1:2" x14ac:dyDescent="0.25">
      <c r="A67" t="s">
        <v>160</v>
      </c>
      <c r="B67">
        <f t="shared" si="1"/>
        <v>1</v>
      </c>
    </row>
    <row r="68" spans="1:2" x14ac:dyDescent="0.25">
      <c r="A68" t="s">
        <v>382</v>
      </c>
      <c r="B68">
        <f t="shared" si="1"/>
        <v>1</v>
      </c>
    </row>
    <row r="69" spans="1:2" x14ac:dyDescent="0.25">
      <c r="A69" t="s">
        <v>383</v>
      </c>
      <c r="B69">
        <f t="shared" si="1"/>
        <v>1</v>
      </c>
    </row>
    <row r="70" spans="1:2" x14ac:dyDescent="0.25">
      <c r="A70" t="s">
        <v>384</v>
      </c>
      <c r="B70">
        <f t="shared" si="1"/>
        <v>1</v>
      </c>
    </row>
    <row r="71" spans="1:2" x14ac:dyDescent="0.25">
      <c r="A71" t="s">
        <v>167</v>
      </c>
      <c r="B71">
        <f t="shared" si="1"/>
        <v>1</v>
      </c>
    </row>
    <row r="72" spans="1:2" x14ac:dyDescent="0.25">
      <c r="A72" t="s">
        <v>169</v>
      </c>
      <c r="B72">
        <f t="shared" si="1"/>
        <v>1</v>
      </c>
    </row>
    <row r="73" spans="1:2" x14ac:dyDescent="0.25">
      <c r="A73" t="s">
        <v>385</v>
      </c>
      <c r="B73">
        <f t="shared" si="1"/>
        <v>1</v>
      </c>
    </row>
    <row r="74" spans="1:2" x14ac:dyDescent="0.25">
      <c r="A74" t="s">
        <v>386</v>
      </c>
      <c r="B74">
        <f t="shared" si="1"/>
        <v>1</v>
      </c>
    </row>
    <row r="75" spans="1:2" x14ac:dyDescent="0.25">
      <c r="A75" t="s">
        <v>174</v>
      </c>
      <c r="B75">
        <f t="shared" si="1"/>
        <v>1</v>
      </c>
    </row>
    <row r="76" spans="1:2" x14ac:dyDescent="0.25">
      <c r="A76" t="s">
        <v>387</v>
      </c>
      <c r="B76">
        <f t="shared" si="1"/>
        <v>1</v>
      </c>
    </row>
    <row r="77" spans="1:2" x14ac:dyDescent="0.25">
      <c r="A77" t="s">
        <v>388</v>
      </c>
      <c r="B77">
        <f t="shared" si="1"/>
        <v>1</v>
      </c>
    </row>
    <row r="78" spans="1:2" x14ac:dyDescent="0.25">
      <c r="A78" t="s">
        <v>389</v>
      </c>
      <c r="B78">
        <f t="shared" si="1"/>
        <v>1</v>
      </c>
    </row>
    <row r="79" spans="1:2" x14ac:dyDescent="0.25">
      <c r="A79" t="s">
        <v>182</v>
      </c>
      <c r="B79">
        <f t="shared" si="1"/>
        <v>1</v>
      </c>
    </row>
    <row r="80" spans="1:2" x14ac:dyDescent="0.25">
      <c r="A80" t="s">
        <v>183</v>
      </c>
      <c r="B80">
        <f t="shared" si="1"/>
        <v>1</v>
      </c>
    </row>
    <row r="81" spans="1:2" x14ac:dyDescent="0.25">
      <c r="A81" t="s">
        <v>390</v>
      </c>
      <c r="B81">
        <f t="shared" si="1"/>
        <v>1</v>
      </c>
    </row>
    <row r="82" spans="1:2" x14ac:dyDescent="0.25">
      <c r="A82" t="s">
        <v>391</v>
      </c>
      <c r="B82">
        <f t="shared" si="1"/>
        <v>1</v>
      </c>
    </row>
    <row r="83" spans="1:2" x14ac:dyDescent="0.25">
      <c r="A83" t="s">
        <v>392</v>
      </c>
      <c r="B83">
        <f t="shared" si="1"/>
        <v>1</v>
      </c>
    </row>
    <row r="84" spans="1:2" x14ac:dyDescent="0.25">
      <c r="A84" t="s">
        <v>190</v>
      </c>
      <c r="B84">
        <f t="shared" si="1"/>
        <v>1</v>
      </c>
    </row>
    <row r="85" spans="1:2" x14ac:dyDescent="0.25">
      <c r="A85" t="s">
        <v>192</v>
      </c>
      <c r="B85">
        <f t="shared" si="1"/>
        <v>1</v>
      </c>
    </row>
    <row r="86" spans="1:2" x14ac:dyDescent="0.25">
      <c r="A86" t="s">
        <v>195</v>
      </c>
      <c r="B86">
        <f t="shared" si="1"/>
        <v>1</v>
      </c>
    </row>
    <row r="87" spans="1:2" x14ac:dyDescent="0.25">
      <c r="A87" t="s">
        <v>197</v>
      </c>
      <c r="B87">
        <f t="shared" si="1"/>
        <v>1</v>
      </c>
    </row>
    <row r="88" spans="1:2" x14ac:dyDescent="0.25">
      <c r="A88" t="s">
        <v>393</v>
      </c>
      <c r="B88">
        <f t="shared" si="1"/>
        <v>1</v>
      </c>
    </row>
    <row r="89" spans="1:2" x14ac:dyDescent="0.25">
      <c r="A89" t="s">
        <v>201</v>
      </c>
      <c r="B89">
        <f t="shared" si="1"/>
        <v>1</v>
      </c>
    </row>
    <row r="90" spans="1:2" x14ac:dyDescent="0.25">
      <c r="A90" t="s">
        <v>203</v>
      </c>
      <c r="B90">
        <f t="shared" si="1"/>
        <v>1</v>
      </c>
    </row>
    <row r="91" spans="1:2" x14ac:dyDescent="0.25">
      <c r="A91" t="s">
        <v>205</v>
      </c>
      <c r="B91">
        <f t="shared" si="1"/>
        <v>1</v>
      </c>
    </row>
    <row r="92" spans="1:2" x14ac:dyDescent="0.25">
      <c r="A92" t="s">
        <v>394</v>
      </c>
      <c r="B92">
        <f t="shared" si="1"/>
        <v>1</v>
      </c>
    </row>
    <row r="93" spans="1:2" x14ac:dyDescent="0.25">
      <c r="A93" t="s">
        <v>209</v>
      </c>
      <c r="B93">
        <f t="shared" si="1"/>
        <v>1</v>
      </c>
    </row>
    <row r="94" spans="1:2" x14ac:dyDescent="0.25">
      <c r="A94" t="s">
        <v>395</v>
      </c>
      <c r="B94">
        <f t="shared" si="1"/>
        <v>1</v>
      </c>
    </row>
    <row r="95" spans="1:2" x14ac:dyDescent="0.25">
      <c r="A95" t="s">
        <v>213</v>
      </c>
      <c r="B95">
        <f t="shared" si="1"/>
        <v>1</v>
      </c>
    </row>
    <row r="96" spans="1:2" x14ac:dyDescent="0.25">
      <c r="A96" t="s">
        <v>214</v>
      </c>
      <c r="B96">
        <f t="shared" si="1"/>
        <v>1</v>
      </c>
    </row>
    <row r="97" spans="1:2" x14ac:dyDescent="0.25">
      <c r="A97" t="s">
        <v>396</v>
      </c>
      <c r="B97">
        <f t="shared" si="1"/>
        <v>1</v>
      </c>
    </row>
    <row r="98" spans="1:2" x14ac:dyDescent="0.25">
      <c r="A98" t="s">
        <v>218</v>
      </c>
      <c r="B98">
        <f t="shared" si="1"/>
        <v>1</v>
      </c>
    </row>
    <row r="99" spans="1:2" x14ac:dyDescent="0.25">
      <c r="A99" t="s">
        <v>220</v>
      </c>
      <c r="B99">
        <f t="shared" si="1"/>
        <v>1</v>
      </c>
    </row>
    <row r="100" spans="1:2" x14ac:dyDescent="0.25">
      <c r="A100" t="s">
        <v>222</v>
      </c>
      <c r="B100">
        <f t="shared" si="1"/>
        <v>1</v>
      </c>
    </row>
    <row r="101" spans="1:2" x14ac:dyDescent="0.25">
      <c r="A101" t="s">
        <v>224</v>
      </c>
      <c r="B101">
        <f t="shared" si="1"/>
        <v>1</v>
      </c>
    </row>
    <row r="102" spans="1:2" x14ac:dyDescent="0.25">
      <c r="A102" t="s">
        <v>226</v>
      </c>
      <c r="B102">
        <f t="shared" si="1"/>
        <v>1</v>
      </c>
    </row>
    <row r="103" spans="1:2" x14ac:dyDescent="0.25">
      <c r="A103" t="s">
        <v>228</v>
      </c>
      <c r="B103">
        <f t="shared" si="1"/>
        <v>1</v>
      </c>
    </row>
    <row r="104" spans="1:2" x14ac:dyDescent="0.25">
      <c r="A104" t="s">
        <v>230</v>
      </c>
      <c r="B104">
        <f t="shared" si="1"/>
        <v>1</v>
      </c>
    </row>
    <row r="105" spans="1:2" x14ac:dyDescent="0.25">
      <c r="A105" t="s">
        <v>232</v>
      </c>
      <c r="B105">
        <f t="shared" si="1"/>
        <v>1</v>
      </c>
    </row>
    <row r="106" spans="1:2" x14ac:dyDescent="0.25">
      <c r="A106" t="s">
        <v>234</v>
      </c>
      <c r="B106">
        <f t="shared" si="1"/>
        <v>1</v>
      </c>
    </row>
    <row r="107" spans="1:2" x14ac:dyDescent="0.25">
      <c r="A107" t="s">
        <v>397</v>
      </c>
      <c r="B107">
        <f t="shared" si="1"/>
        <v>1</v>
      </c>
    </row>
    <row r="108" spans="1:2" x14ac:dyDescent="0.25">
      <c r="A108" t="s">
        <v>398</v>
      </c>
      <c r="B108">
        <f t="shared" si="1"/>
        <v>1</v>
      </c>
    </row>
    <row r="109" spans="1:2" x14ac:dyDescent="0.25">
      <c r="A109" t="s">
        <v>239</v>
      </c>
      <c r="B109">
        <f t="shared" si="1"/>
        <v>2</v>
      </c>
    </row>
    <row r="110" spans="1:2" x14ac:dyDescent="0.25">
      <c r="A110" t="s">
        <v>239</v>
      </c>
      <c r="B110">
        <f t="shared" si="1"/>
        <v>1</v>
      </c>
    </row>
    <row r="111" spans="1:2" x14ac:dyDescent="0.25">
      <c r="A111" t="s">
        <v>243</v>
      </c>
      <c r="B111">
        <f t="shared" si="1"/>
        <v>1</v>
      </c>
    </row>
    <row r="112" spans="1:2" x14ac:dyDescent="0.25">
      <c r="A112" t="s">
        <v>245</v>
      </c>
      <c r="B112">
        <f t="shared" si="1"/>
        <v>1</v>
      </c>
    </row>
    <row r="113" spans="1:2" x14ac:dyDescent="0.25">
      <c r="A113" t="s">
        <v>246</v>
      </c>
      <c r="B113">
        <f t="shared" si="1"/>
        <v>1</v>
      </c>
    </row>
    <row r="114" spans="1:2" x14ac:dyDescent="0.25">
      <c r="A114" t="s">
        <v>248</v>
      </c>
      <c r="B114">
        <f t="shared" si="1"/>
        <v>1</v>
      </c>
    </row>
    <row r="115" spans="1:2" x14ac:dyDescent="0.25">
      <c r="A115" t="s">
        <v>250</v>
      </c>
      <c r="B115">
        <f t="shared" si="1"/>
        <v>1</v>
      </c>
    </row>
    <row r="116" spans="1:2" x14ac:dyDescent="0.25">
      <c r="A116" t="s">
        <v>252</v>
      </c>
      <c r="B116">
        <f t="shared" si="1"/>
        <v>1</v>
      </c>
    </row>
    <row r="117" spans="1:2" x14ac:dyDescent="0.25">
      <c r="A117" t="s">
        <v>254</v>
      </c>
      <c r="B117">
        <f t="shared" si="1"/>
        <v>1</v>
      </c>
    </row>
    <row r="118" spans="1:2" x14ac:dyDescent="0.25">
      <c r="A118" t="s">
        <v>256</v>
      </c>
      <c r="B118">
        <f t="shared" si="1"/>
        <v>1</v>
      </c>
    </row>
    <row r="119" spans="1:2" x14ac:dyDescent="0.25">
      <c r="A119" t="s">
        <v>258</v>
      </c>
      <c r="B119">
        <f t="shared" si="1"/>
        <v>1</v>
      </c>
    </row>
    <row r="120" spans="1:2" x14ac:dyDescent="0.25">
      <c r="A120" t="s">
        <v>260</v>
      </c>
      <c r="B120">
        <f t="shared" si="1"/>
        <v>1</v>
      </c>
    </row>
    <row r="121" spans="1:2" x14ac:dyDescent="0.25">
      <c r="A121" t="s">
        <v>262</v>
      </c>
      <c r="B121">
        <f t="shared" si="1"/>
        <v>1</v>
      </c>
    </row>
    <row r="122" spans="1:2" x14ac:dyDescent="0.25">
      <c r="A122" t="s">
        <v>264</v>
      </c>
      <c r="B122">
        <f t="shared" si="1"/>
        <v>1</v>
      </c>
    </row>
    <row r="123" spans="1:2" x14ac:dyDescent="0.25">
      <c r="A123" t="s">
        <v>399</v>
      </c>
      <c r="B123">
        <f t="shared" si="1"/>
        <v>1</v>
      </c>
    </row>
    <row r="124" spans="1:2" x14ac:dyDescent="0.25">
      <c r="A124" t="s">
        <v>268</v>
      </c>
      <c r="B124">
        <f t="shared" si="1"/>
        <v>1</v>
      </c>
    </row>
    <row r="125" spans="1:2" x14ac:dyDescent="0.25">
      <c r="A125" t="s">
        <v>270</v>
      </c>
      <c r="B125">
        <f t="shared" si="1"/>
        <v>1</v>
      </c>
    </row>
    <row r="126" spans="1:2" x14ac:dyDescent="0.25">
      <c r="A126" t="s">
        <v>272</v>
      </c>
      <c r="B126">
        <f t="shared" si="1"/>
        <v>1</v>
      </c>
    </row>
    <row r="127" spans="1:2" x14ac:dyDescent="0.25">
      <c r="A127" t="s">
        <v>400</v>
      </c>
      <c r="B127">
        <f t="shared" si="1"/>
        <v>1</v>
      </c>
    </row>
  </sheetData>
  <conditionalFormatting sqref="B1:B1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BASE OFICIAL</vt:lpstr>
      <vt:lpstr>BASE APURAÇÃO</vt:lpstr>
      <vt:lpstr>DADOS PAGAMENTOS</vt:lpstr>
      <vt:lpstr>Planilha2</vt:lpstr>
      <vt:lpstr>'BASE OFICIAL'!Area_de_impressao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Carvalho Silva de Britto, Tiago</dc:creator>
  <cp:keywords/>
  <dc:description/>
  <cp:lastModifiedBy>Felipe Machado</cp:lastModifiedBy>
  <cp:revision/>
  <cp:lastPrinted>2025-11-12T19:22:52Z</cp:lastPrinted>
  <dcterms:created xsi:type="dcterms:W3CDTF">2022-06-13T23:31:51Z</dcterms:created>
  <dcterms:modified xsi:type="dcterms:W3CDTF">2026-05-22T19:24:30Z</dcterms:modified>
  <cp:category/>
  <cp:contentStatus/>
</cp:coreProperties>
</file>